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4"/>
    <sheet state="visible" name="data" sheetId="2" r:id="rId5"/>
    <sheet state="visible" name="alt" sheetId="3" r:id="rId6"/>
  </sheets>
  <definedNames>
    <definedName name="altevoker">alt!$M$3:$M$5</definedName>
    <definedName name="altroster">roster!$M$9:$M$21</definedName>
    <definedName localSheetId="2" name="deathknight">alt!$A$3:$A$5</definedName>
    <definedName localSheetId="2" name="warrior">alt!$L$3:$L$5</definedName>
    <definedName name="aospec">roster!$G$2:$G$99</definedName>
    <definedName name="mage">data!$E$3:$E$5</definedName>
    <definedName name="bench">roster!$J$2:$J$99</definedName>
    <definedName localSheetId="2" name="paladin">alt!$G$3:$G$5</definedName>
    <definedName name="aspec">roster!$F$2:$F$99</definedName>
    <definedName name="mainclass">roster!$B$2:$B$99</definedName>
    <definedName name="warlock">data!$K$3:$K$5</definedName>
    <definedName localSheetId="2" name="warlock">alt!$K$3:$K$5</definedName>
    <definedName localSheetId="2" name="priest">alt!$H$3:$H$5</definedName>
    <definedName localSheetId="2" name="shaman">alt!$J$3:$J$5</definedName>
    <definedName name="evoker">data!$M$3:$M$5</definedName>
    <definedName localSheetId="2" name="mage">alt!$E$3:$E$5</definedName>
    <definedName name="altclass">roster!$E$2:$E$99</definedName>
    <definedName name="mainroster">roster!$L$9:$L$21</definedName>
    <definedName name="priest">data!$H$3:$H$5</definedName>
    <definedName name="rogue">data!$I$3:$I$5</definedName>
    <definedName name="warrior">data!$L$3:$L$5</definedName>
    <definedName localSheetId="2" name="hunter">alt!$D$3:$D$5</definedName>
    <definedName localSheetId="2" name="dh">alt!$B$3:$B$5</definedName>
    <definedName localSheetId="2" name="rogue">alt!$I$3:$I$5</definedName>
    <definedName name="monk">data!$F$3:$F$5</definedName>
    <definedName name="shaman">data!$J$3:$J$5</definedName>
    <definedName localSheetId="2" name="monk">alt!$F$3:$F$5</definedName>
    <definedName name="druid">data!$C$3:$C$6</definedName>
    <definedName localSheetId="2" name="druid">alt!$C$3:$C$6</definedName>
    <definedName name="mspec">roster!$C$2:$C$99</definedName>
    <definedName name="hunter">data!$D$3:$D$5</definedName>
    <definedName name="paladin">data!$G$3:$G$5</definedName>
    <definedName name="mospec">roster!$D$2:$D$99</definedName>
    <definedName name="demonhunter">data!$B$3:$B$5</definedName>
    <definedName name="deathknight">data!$A$3:$A$5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">
      <text>
        <t xml:space="preserve">Mage</t>
      </text>
    </comment>
    <comment authorId="0" ref="O3">
      <text>
        <t xml:space="preserve">Warrior</t>
      </text>
    </comment>
    <comment authorId="0" ref="O4">
      <text>
        <t xml:space="preserve">Priest</t>
      </text>
    </comment>
    <comment authorId="0" ref="O5">
      <text>
        <t xml:space="preserve">Paladin Def Aura</t>
      </text>
    </comment>
    <comment authorId="0" ref="O6">
      <text>
        <t xml:space="preserve">Monk</t>
      </text>
    </comment>
    <comment authorId="0" ref="O7">
      <text>
        <t xml:space="preserve">Demon Hunter
</t>
      </text>
    </comment>
    <comment authorId="0" ref="O8">
      <text>
        <t xml:space="preserve">Druid</t>
      </text>
    </comment>
    <comment authorId="0" ref="O10">
      <text>
        <t xml:space="preserve">Mage, Shaman, Evoker or Hunter Pet</t>
      </text>
    </comment>
    <comment authorId="0" ref="O11">
      <text>
        <t xml:space="preserve">Druid, Death Knight, Warlock, Paladin
Not Tracked:
Engineering, Shaman Totem</t>
      </text>
    </comment>
    <comment authorId="0" ref="O12">
      <text>
        <t xml:space="preserve">Druid, Shaman</t>
      </text>
    </comment>
    <comment authorId="0" ref="O13">
      <text>
        <t xml:space="preserve">Warlock
</t>
      </text>
    </comment>
    <comment authorId="0" ref="O14">
      <text>
        <t xml:space="preserve">Priest, MW Monk
</t>
      </text>
    </comment>
    <comment authorId="0" ref="O15">
      <text>
        <t xml:space="preserve">Druid
</t>
      </text>
    </comment>
    <comment authorId="0" ref="O16">
      <text>
        <t xml:space="preserve">Death Knight
</t>
      </text>
    </comment>
    <comment authorId="0" ref="O17">
      <text>
        <t xml:space="preserve">Paladin</t>
      </text>
    </comment>
    <comment authorId="0" ref="O18">
      <text>
        <t xml:space="preserve">Warrior</t>
      </text>
    </comment>
    <comment authorId="0" ref="O19">
      <text>
        <t xml:space="preserve">All DHs in DF
</t>
      </text>
    </comment>
    <comment authorId="0" ref="O20">
      <text>
        <t xml:space="preserve">Counts:
Mage - Ice Block
Paladin - Divine Shield
Hunter - Turtle Shell
Not Tracked, but could be viable:
Rogue - Cloak
DH - Netherwalk</t>
      </text>
    </comment>
    <comment authorId="0" ref="O22">
      <text>
        <t xml:space="preserve">Rogue
</t>
      </text>
    </comment>
    <comment authorId="0" ref="O23">
      <text>
        <t xml:space="preserve">5Man Dr, Movespeed CD reduction, Spatial Paradox, Source of Magic, Free Movement CD
</t>
      </text>
    </comment>
  </commentList>
</comments>
</file>

<file path=xl/sharedStrings.xml><?xml version="1.0" encoding="utf-8"?>
<sst xmlns="http://schemas.openxmlformats.org/spreadsheetml/2006/main" count="283" uniqueCount="126">
  <si>
    <t>Player</t>
  </si>
  <si>
    <t>Main Class</t>
  </si>
  <si>
    <t>Main Spec</t>
  </si>
  <si>
    <t>Off Spec</t>
  </si>
  <si>
    <t>Alt Class</t>
  </si>
  <si>
    <t>Note</t>
  </si>
  <si>
    <t>Locked In</t>
  </si>
  <si>
    <t>Bench</t>
  </si>
  <si>
    <t>Raid Roles</t>
  </si>
  <si>
    <t>Main</t>
  </si>
  <si>
    <t>Offspec/Alt</t>
  </si>
  <si>
    <t>Major Buffs/Debuffs</t>
  </si>
  <si>
    <t>Tier Token</t>
  </si>
  <si>
    <t>Alt</t>
  </si>
  <si>
    <t>PlayerOne</t>
  </si>
  <si>
    <t>Tank</t>
  </si>
  <si>
    <t>Intellect</t>
  </si>
  <si>
    <t>Dreadful (Cloth)</t>
  </si>
  <si>
    <t>Demon Hunter</t>
  </si>
  <si>
    <t>Devourer</t>
  </si>
  <si>
    <t>Melee DPS</t>
  </si>
  <si>
    <t>Attack Power</t>
  </si>
  <si>
    <t>Mystic (Leather)</t>
  </si>
  <si>
    <t>Shaman</t>
  </si>
  <si>
    <t>Ranged DPS</t>
  </si>
  <si>
    <t>Stamina</t>
  </si>
  <si>
    <t>Venerated (Mail)</t>
  </si>
  <si>
    <t>Monk</t>
  </si>
  <si>
    <t>Healer</t>
  </si>
  <si>
    <t>3% DR (Devo Aura)</t>
  </si>
  <si>
    <t>Zenith (Plate)</t>
  </si>
  <si>
    <t>Paladin</t>
  </si>
  <si>
    <t>Augvokers</t>
  </si>
  <si>
    <t>5% Physical</t>
  </si>
  <si>
    <t>Evoker</t>
  </si>
  <si>
    <t>3% Magic</t>
  </si>
  <si>
    <t>Hunter</t>
  </si>
  <si>
    <t>Classes</t>
  </si>
  <si>
    <t>3% Versatility</t>
  </si>
  <si>
    <t>Death Knight</t>
  </si>
  <si>
    <t>Utility</t>
  </si>
  <si>
    <t>Bloodlust</t>
  </si>
  <si>
    <t>Knock Up/Back</t>
  </si>
  <si>
    <t>Combat Res</t>
  </si>
  <si>
    <t>Mortal Strike</t>
  </si>
  <si>
    <t>Druid</t>
  </si>
  <si>
    <t>Burst Move Speed</t>
  </si>
  <si>
    <t>Soothe</t>
  </si>
  <si>
    <t>Lock Stuff (HS, Gate, Curse)</t>
  </si>
  <si>
    <t>Purge</t>
  </si>
  <si>
    <t>Mage</t>
  </si>
  <si>
    <t>Mass Dispel</t>
  </si>
  <si>
    <t>Power Infusion</t>
  </si>
  <si>
    <t>Innervate</t>
  </si>
  <si>
    <t>Extra Dam to Shields</t>
  </si>
  <si>
    <t>Death Grip/AMZ</t>
  </si>
  <si>
    <t>Cheat Death</t>
  </si>
  <si>
    <t>Priest</t>
  </si>
  <si>
    <t>Blessing of Protection</t>
  </si>
  <si>
    <t>Blessing of Spellwarding</t>
  </si>
  <si>
    <t>Rogue</t>
  </si>
  <si>
    <t>Rallying Cry</t>
  </si>
  <si>
    <t>Darkness</t>
  </si>
  <si>
    <t>Warlock</t>
  </si>
  <si>
    <t>Immunities</t>
  </si>
  <si>
    <t>Cooldown Profiles</t>
  </si>
  <si>
    <r>
      <rPr/>
      <t xml:space="preserve">These are based on </t>
    </r>
    <r>
      <rPr>
        <color rgb="FF1155CC"/>
        <u/>
      </rPr>
      <t>Lorrgs.io</t>
    </r>
    <r>
      <rPr/>
      <t xml:space="preserve"> data. Yes some classes can talent into a different CD profile, this is just some extra info that some requested to see at a quick glance</t>
    </r>
  </si>
  <si>
    <t>Warrior</t>
  </si>
  <si>
    <t>Skyfury (Yay Shamans)</t>
  </si>
  <si>
    <t>1 and 1.5 min</t>
  </si>
  <si>
    <t>Total</t>
  </si>
  <si>
    <t>Boss DR</t>
  </si>
  <si>
    <t>2 min</t>
  </si>
  <si>
    <t>Dragons</t>
  </si>
  <si>
    <t>3 min</t>
  </si>
  <si>
    <t>Execute Damage</t>
  </si>
  <si>
    <t>Attack Speed Reduction</t>
  </si>
  <si>
    <t>Cast Speed Reduction</t>
  </si>
  <si>
    <t>Info</t>
  </si>
  <si>
    <t>Click File -&gt; Make a copy and save to your Google Drive</t>
  </si>
  <si>
    <t>Do not mess with data or alt sheets. they provide the logic for the drop down selections</t>
  </si>
  <si>
    <t>Do not copy/paste from/to columns B - G: it breaks the logic</t>
  </si>
  <si>
    <t>Want custom changes or see errors?</t>
  </si>
  <si>
    <t>Expand Roster Size by clicking the + next to the 30,40,50,60 rows</t>
  </si>
  <si>
    <t>Discord: r3con</t>
  </si>
  <si>
    <t>Reddit: u/r3con_ops</t>
  </si>
  <si>
    <t>Changes:</t>
  </si>
  <si>
    <t>Added 3rd DH spec - Devourer</t>
  </si>
  <si>
    <t>Updated Tier tokens - now based on armor type</t>
  </si>
  <si>
    <t>I will take up heavy development when The War Within gets into beta and close to release</t>
  </si>
  <si>
    <t>Blood</t>
  </si>
  <si>
    <t>Havoc</t>
  </si>
  <si>
    <t>Balance</t>
  </si>
  <si>
    <t>Beast Mastery</t>
  </si>
  <si>
    <t>Arcane</t>
  </si>
  <si>
    <t>Brewmaster</t>
  </si>
  <si>
    <t>Holy</t>
  </si>
  <si>
    <t>Discipline</t>
  </si>
  <si>
    <t>Assassination</t>
  </si>
  <si>
    <t>Elemental</t>
  </si>
  <si>
    <t>Affliction</t>
  </si>
  <si>
    <t>Arms</t>
  </si>
  <si>
    <t>Augmentation</t>
  </si>
  <si>
    <t>Vengeance</t>
  </si>
  <si>
    <t/>
  </si>
  <si>
    <t>Frost</t>
  </si>
  <si>
    <t>Feral</t>
  </si>
  <si>
    <t>Marksmanship</t>
  </si>
  <si>
    <t>Fire</t>
  </si>
  <si>
    <t>Mistweaver</t>
  </si>
  <si>
    <t>Protection</t>
  </si>
  <si>
    <t>Outlaw</t>
  </si>
  <si>
    <t>Enhancement</t>
  </si>
  <si>
    <t>Destruction</t>
  </si>
  <si>
    <t>Fury</t>
  </si>
  <si>
    <t>Devastation</t>
  </si>
  <si>
    <t>Restoration</t>
  </si>
  <si>
    <t>Unholy</t>
  </si>
  <si>
    <t>Guardian</t>
  </si>
  <si>
    <t>Survival</t>
  </si>
  <si>
    <t>Windwalker</t>
  </si>
  <si>
    <t>Retribution</t>
  </si>
  <si>
    <t>Shadow</t>
  </si>
  <si>
    <t>Subtlety</t>
  </si>
  <si>
    <t>Demonology</t>
  </si>
  <si>
    <t>Preservation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</si>
</sst>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  <font>
      <color rgb="FFE8E6E3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color rgb="FF000000"/>
      <name val="Arial"/>
    </font>
    <font>
      <color rgb="FFFFFFFF"/>
      <name val="Arial"/>
      <scheme val="minor"/>
    </font>
    <font>
      <sz val="9.0"/>
      <color rgb="FF000000"/>
      <name val="Arial"/>
      <scheme val="minor"/>
    </font>
    <font>
      <b/>
      <sz val="14.0"/>
      <color rgb="FFFFFFFF"/>
      <name val="Arial"/>
    </font>
    <font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sz val="11.0"/>
      <color rgb="FFF7981D"/>
      <name val="Arial"/>
      <scheme val="minor"/>
    </font>
    <font>
      <sz val="11.0"/>
      <color rgb="FF11A9CC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C41F3B"/>
        <bgColor rgb="FFC41F3B"/>
      </patternFill>
    </fill>
    <fill>
      <patternFill patternType="solid">
        <fgColor rgb="FFA330C9"/>
        <bgColor rgb="FFA330C9"/>
      </patternFill>
    </fill>
    <fill>
      <patternFill patternType="solid">
        <fgColor rgb="FFFF7D0A"/>
        <bgColor rgb="FFFF7D0A"/>
      </patternFill>
    </fill>
    <fill>
      <patternFill patternType="solid">
        <fgColor rgb="FFA9D271"/>
        <bgColor rgb="FFA9D271"/>
      </patternFill>
    </fill>
    <fill>
      <patternFill patternType="solid">
        <fgColor rgb="FF40C7EB"/>
        <bgColor rgb="FF40C7EB"/>
      </patternFill>
    </fill>
    <fill>
      <patternFill patternType="solid">
        <fgColor rgb="FF00FF96"/>
        <bgColor rgb="FF00FF96"/>
      </patternFill>
    </fill>
    <fill>
      <patternFill patternType="solid">
        <fgColor rgb="FFF58CBA"/>
        <bgColor rgb="FFF58CBA"/>
      </patternFill>
    </fill>
    <fill>
      <patternFill patternType="solid">
        <fgColor rgb="FFFFF569"/>
        <bgColor rgb="FFFFF569"/>
      </patternFill>
    </fill>
    <fill>
      <patternFill patternType="solid">
        <fgColor rgb="FF0070DE"/>
        <bgColor rgb="FF0070DE"/>
      </patternFill>
    </fill>
    <fill>
      <patternFill patternType="solid">
        <fgColor rgb="FF8787ED"/>
        <bgColor rgb="FF8787ED"/>
      </patternFill>
    </fill>
    <fill>
      <patternFill patternType="solid">
        <fgColor rgb="FFC79C6E"/>
        <bgColor rgb="FFC79C6E"/>
      </patternFill>
    </fill>
  </fills>
  <borders count="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readingOrder="0"/>
    </xf>
    <xf borderId="3" fillId="5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0" fontId="3" numFmtId="0" xfId="0" applyFont="1"/>
    <xf borderId="4" fillId="0" fontId="5" numFmtId="0" xfId="0" applyAlignment="1" applyBorder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5" fillId="0" fontId="5" numFmtId="0" xfId="0" applyBorder="1" applyFont="1"/>
    <xf borderId="5" fillId="0" fontId="5" numFmtId="0" xfId="0" applyAlignment="1" applyBorder="1" applyFont="1">
      <alignment readingOrder="0" shrinkToFit="0" wrapText="1"/>
    </xf>
    <xf borderId="0" fillId="0" fontId="9" numFmtId="0" xfId="0" applyFont="1"/>
    <xf borderId="0" fillId="7" fontId="10" numFmtId="0" xfId="0" applyAlignment="1" applyFill="1" applyFont="1">
      <alignment vertical="bottom"/>
    </xf>
    <xf borderId="0" fillId="0" fontId="6" numFmtId="0" xfId="0" applyFont="1"/>
    <xf borderId="0" fillId="8" fontId="10" numFmtId="0" xfId="0" applyAlignment="1" applyFill="1" applyFont="1">
      <alignment vertical="bottom"/>
    </xf>
    <xf borderId="0" fillId="9" fontId="11" numFmtId="0" xfId="0" applyAlignment="1" applyFill="1" applyFont="1">
      <alignment readingOrder="0" vertical="bottom"/>
    </xf>
    <xf borderId="0" fillId="9" fontId="10" numFmtId="0" xfId="0" applyAlignment="1" applyFont="1">
      <alignment vertical="bottom"/>
    </xf>
    <xf borderId="0" fillId="10" fontId="10" numFmtId="0" xfId="0" applyAlignment="1" applyFill="1" applyFont="1">
      <alignment vertical="bottom"/>
    </xf>
    <xf borderId="0" fillId="11" fontId="10" numFmtId="0" xfId="0" applyAlignment="1" applyFill="1" applyFont="1">
      <alignment vertical="bottom"/>
    </xf>
    <xf borderId="0" fillId="0" fontId="0" numFmtId="0" xfId="0" applyFont="1"/>
    <xf borderId="0" fillId="12" fontId="10" numFmtId="0" xfId="0" applyAlignment="1" applyFill="1" applyFont="1">
      <alignment vertical="bottom"/>
    </xf>
    <xf borderId="0" fillId="13" fontId="10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14" fontId="10" numFmtId="0" xfId="0" applyAlignment="1" applyFill="1" applyFont="1">
      <alignment vertical="bottom"/>
    </xf>
    <xf borderId="0" fillId="15" fontId="10" numFmtId="0" xfId="0" applyAlignment="1" applyFill="1" applyFont="1">
      <alignment vertical="bottom"/>
    </xf>
    <xf borderId="0" fillId="16" fontId="10" numFmtId="0" xfId="0" applyAlignment="1" applyFill="1" applyFont="1">
      <alignment vertical="bottom"/>
    </xf>
    <xf borderId="0" fillId="0" fontId="12" numFmtId="0" xfId="0" applyAlignment="1" applyFont="1">
      <alignment readingOrder="0"/>
    </xf>
    <xf borderId="0" fillId="17" fontId="10" numFmtId="0" xfId="0" applyAlignment="1" applyFill="1" applyFont="1">
      <alignment vertical="bottom"/>
    </xf>
    <xf borderId="0" fillId="0" fontId="13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vertical="bottom" wrapText="1"/>
    </xf>
    <xf borderId="0" fillId="6" fontId="14" numFmtId="0" xfId="0" applyFont="1"/>
    <xf borderId="0" fillId="0" fontId="10" numFmtId="0" xfId="0" applyAlignment="1" applyFont="1">
      <alignment vertical="bottom"/>
    </xf>
    <xf borderId="4" fillId="0" fontId="5" numFmtId="0" xfId="0" applyBorder="1" applyFont="1"/>
    <xf borderId="0" fillId="0" fontId="9" numFmtId="0" xfId="0" applyAlignment="1" applyFont="1">
      <alignment readingOrder="0"/>
    </xf>
    <xf borderId="0" fillId="0" fontId="15" numFmtId="0" xfId="0" applyFont="1"/>
    <xf borderId="0" fillId="2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6" fontId="17" numFmtId="0" xfId="0" applyAlignment="1" applyFont="1">
      <alignment shrinkToFit="0" vertical="bottom" wrapText="0"/>
    </xf>
    <xf borderId="6" fillId="0" fontId="5" numFmtId="0" xfId="0" applyBorder="1" applyFont="1"/>
    <xf borderId="7" fillId="0" fontId="14" numFmtId="0" xfId="0" applyAlignment="1" applyBorder="1" applyFont="1">
      <alignment readingOrder="0"/>
    </xf>
    <xf borderId="7" fillId="0" fontId="5" numFmtId="0" xfId="0" applyBorder="1" applyFont="1"/>
    <xf borderId="7" fillId="0" fontId="5" numFmtId="0" xfId="0" applyAlignment="1" applyBorder="1" applyFont="1">
      <alignment readingOrder="0"/>
    </xf>
    <xf borderId="8" fillId="0" fontId="5" numFmtId="0" xfId="0" applyBorder="1" applyFont="1"/>
    <xf borderId="0" fillId="6" fontId="17" numFmtId="0" xfId="0" applyAlignment="1" applyFont="1">
      <alignment shrinkToFit="0" vertical="bottom" wrapText="1"/>
    </xf>
    <xf borderId="0" fillId="6" fontId="18" numFmtId="0" xfId="0" applyAlignment="1" applyFont="1">
      <alignment readingOrder="0" vertical="bottom"/>
    </xf>
    <xf borderId="0" fillId="6" fontId="17" numFmtId="0" xfId="0" applyAlignment="1" applyFont="1">
      <alignment vertical="bottom"/>
    </xf>
    <xf borderId="0" fillId="6" fontId="14" numFmtId="0" xfId="0" applyAlignment="1" applyFont="1">
      <alignment readingOrder="0"/>
    </xf>
    <xf borderId="0" fillId="6" fontId="17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1"/>
    </xf>
    <xf borderId="0" fillId="0" fontId="19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5" numFmtId="0" xfId="0" applyFont="1"/>
    <xf borderId="0" fillId="0" fontId="20" numFmtId="0" xfId="0" applyFont="1"/>
    <xf borderId="0" fillId="0" fontId="21" numFmtId="0" xfId="0" applyFont="1"/>
  </cellXfs>
  <cellStyles count="1">
    <cellStyle xfId="0" name="Normal" builtinId="0"/>
  </cellStyles>
  <dxfs count="16">
    <dxf>
      <font>
        <b/>
        <color rgb="FFFFFFFF"/>
      </font>
      <fill>
        <patternFill patternType="solid">
          <fgColor rgb="FFC41F3B"/>
          <bgColor rgb="FFC41F3B"/>
        </patternFill>
      </fill>
      <border/>
    </dxf>
    <dxf>
      <font>
        <b/>
        <color rgb="FFFFFFFF"/>
      </font>
      <fill>
        <patternFill patternType="solid">
          <fgColor rgb="FFA330C9"/>
          <bgColor rgb="FFA330C9"/>
        </patternFill>
      </fill>
      <border/>
    </dxf>
    <dxf>
      <font>
        <b/>
        <color rgb="FF000000"/>
      </font>
      <fill>
        <patternFill patternType="solid">
          <fgColor rgb="FFC79C6E"/>
          <bgColor rgb="FFC79C6E"/>
        </patternFill>
      </fill>
      <border/>
    </dxf>
    <dxf>
      <font>
        <b/>
        <color rgb="FF000000"/>
      </font>
      <fill>
        <patternFill patternType="solid">
          <fgColor rgb="FFFF7D0A"/>
          <bgColor rgb="FFFF7D0A"/>
        </patternFill>
      </fill>
      <border/>
    </dxf>
    <dxf>
      <font>
        <b/>
        <color rgb="FF000000"/>
      </font>
      <fill>
        <patternFill patternType="solid">
          <fgColor rgb="FFA9D271"/>
          <bgColor rgb="FFA9D271"/>
        </patternFill>
      </fill>
      <border/>
    </dxf>
    <dxf>
      <font>
        <b/>
        <color rgb="FF000000"/>
      </font>
      <fill>
        <patternFill patternType="solid">
          <fgColor rgb="FF40C7EB"/>
          <bgColor rgb="FF40C7EB"/>
        </patternFill>
      </fill>
      <border/>
    </dxf>
    <dxf>
      <font>
        <b/>
        <color rgb="FF000000"/>
      </font>
      <fill>
        <patternFill patternType="solid">
          <fgColor rgb="FF00FF96"/>
          <bgColor rgb="FF00FF96"/>
        </patternFill>
      </fill>
      <border/>
    </dxf>
    <dxf>
      <font>
        <b/>
        <color rgb="FF000000"/>
      </font>
      <fill>
        <patternFill patternType="solid">
          <fgColor rgb="FFF58CBA"/>
          <bgColor rgb="FFF58CBA"/>
        </patternFill>
      </fill>
      <border/>
    </dxf>
    <dxf>
      <font>
        <b/>
        <color rgb="FF000000"/>
      </font>
      <fill>
        <patternFill patternType="solid">
          <fgColor rgb="FFFFF569"/>
          <bgColor rgb="FFFFF569"/>
        </patternFill>
      </fill>
      <border/>
    </dxf>
    <dxf>
      <font>
        <b/>
        <color rgb="FF000000"/>
      </font>
      <fill>
        <patternFill patternType="solid">
          <fgColor rgb="FF0070DE"/>
          <bgColor rgb="FF0070DE"/>
        </patternFill>
      </fill>
      <border/>
    </dxf>
    <dxf>
      <font>
        <b/>
        <color rgb="FF000000"/>
      </font>
      <fill>
        <patternFill patternType="solid">
          <fgColor rgb="FF8787ED"/>
          <bgColor rgb="FF8787ED"/>
        </patternFill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rgb="FF33937F"/>
          <bgColor rgb="FF33937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lorrgs.io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1.63"/>
    <col customWidth="1" min="2" max="2" width="18.0"/>
    <col customWidth="1" min="3" max="3" width="14.13"/>
    <col customWidth="1" min="4" max="4" width="16.38"/>
    <col customWidth="1" min="5" max="5" width="14.88"/>
    <col customWidth="1" min="6" max="7" width="14.13"/>
    <col customWidth="1" min="8" max="8" width="23.75"/>
    <col customWidth="1" min="9" max="10" width="8.75"/>
    <col customWidth="1" min="12" max="12" width="7.75"/>
    <col customWidth="1" min="13" max="13" width="9.88"/>
    <col customWidth="1" min="14" max="14" width="4.13"/>
    <col customWidth="1" min="15" max="15" width="21.75"/>
    <col customWidth="1" min="18" max="18" width="5.38"/>
    <col customWidth="1" min="19" max="19" width="18.63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2</v>
      </c>
      <c r="G1" s="3" t="s">
        <v>3</v>
      </c>
      <c r="H1" s="4" t="s">
        <v>5</v>
      </c>
      <c r="I1" s="5" t="s">
        <v>6</v>
      </c>
      <c r="J1" s="5" t="s">
        <v>7</v>
      </c>
      <c r="K1" s="6" t="s">
        <v>8</v>
      </c>
      <c r="L1" s="7" t="s">
        <v>9</v>
      </c>
      <c r="M1" s="7" t="s">
        <v>10</v>
      </c>
      <c r="N1" s="5"/>
      <c r="O1" s="6" t="s">
        <v>11</v>
      </c>
      <c r="P1" s="7" t="s">
        <v>9</v>
      </c>
      <c r="Q1" s="7" t="s">
        <v>10</v>
      </c>
      <c r="R1" s="8"/>
      <c r="S1" s="6" t="s">
        <v>12</v>
      </c>
      <c r="T1" s="7" t="s">
        <v>9</v>
      </c>
      <c r="U1" s="7" t="s">
        <v>13</v>
      </c>
      <c r="V1" s="8"/>
      <c r="W1" s="8"/>
      <c r="X1" s="8"/>
      <c r="Y1" s="8"/>
      <c r="Z1" s="8"/>
      <c r="AA1" s="8"/>
      <c r="AB1" s="8"/>
      <c r="AC1" s="8"/>
    </row>
    <row r="2">
      <c r="A2" s="9" t="s">
        <v>14</v>
      </c>
      <c r="B2" s="10"/>
      <c r="C2" s="10"/>
      <c r="D2" s="10"/>
      <c r="E2" s="11"/>
      <c r="F2" s="10"/>
      <c r="G2" s="10"/>
      <c r="H2" s="12"/>
      <c r="I2" s="13" t="b">
        <v>0</v>
      </c>
      <c r="J2" s="13" t="b">
        <v>0</v>
      </c>
      <c r="K2" s="13" t="s">
        <v>15</v>
      </c>
      <c r="L2" s="13">
        <f>countifs(mspec,"Protection",bench,"FALSE")+Countifs(mspec,"Brewmaster",bench,"FALSE")+countifs(mspec,"Blood",bench,"FALSE")+countifs(mspec,"Vengeance",bench,"FALSE")+countifs(mspec,"Guardian",bench,"FALSE")</f>
        <v>0</v>
      </c>
      <c r="M2" s="13">
        <f>countif(D2:G99,"Protection")+Countif(D2:G99,"Brewmaster")+countif(D2:G99,"Blood")+countif(D2:G99,"Vengeance")+countif(D2:G99,"Guardian")</f>
        <v>0</v>
      </c>
      <c r="N2" s="13"/>
      <c r="O2" s="13" t="s">
        <v>16</v>
      </c>
      <c r="P2" s="10">
        <f>countifs(mainclass,"Mage",bench,"FALSE")</f>
        <v>1</v>
      </c>
      <c r="Q2" s="10">
        <f>countif(altclass,"Mage")</f>
        <v>1</v>
      </c>
      <c r="S2" s="13" t="s">
        <v>17</v>
      </c>
      <c r="T2" s="10">
        <f>countifs(mainclass,"Priest",bench,"FALSE")+countifs(mainclass,"Mage",bench,"FALSE")+countifs(mainclass,"Warlock",bench,"FALSE")</f>
        <v>1</v>
      </c>
      <c r="U2" s="14">
        <f>countif(altclass,"Priest")+countif(altclass,"Mage")+countif(altclass,"Warlock")</f>
        <v>1</v>
      </c>
    </row>
    <row r="3">
      <c r="A3" s="9"/>
      <c r="B3" s="15" t="s">
        <v>18</v>
      </c>
      <c r="C3" s="13" t="s">
        <v>19</v>
      </c>
      <c r="D3" s="10"/>
      <c r="E3" s="13" t="s">
        <v>18</v>
      </c>
      <c r="F3" s="10"/>
      <c r="G3" s="10"/>
      <c r="H3" s="16"/>
      <c r="I3" s="13" t="b">
        <v>0</v>
      </c>
      <c r="J3" s="13" t="b">
        <v>0</v>
      </c>
      <c r="K3" s="13" t="s">
        <v>20</v>
      </c>
      <c r="L3" s="10">
        <f>countifs(mainclass,"Rogue",bench,"FALSE")+countifs(mspec,"Unholy",bench,"FALSE")+countifs(mspec,"Feral",bench,"FALSE")+countifs(mspec,"Survival",bench,"FALSE")+countifs(mspec,"Fury",bench,"FALSE")+countifs(mspec,"Arms",bench,"FALSE")+countifs(mspec,"Retribution",bench,"FALSE")+countifs(mspec,"Havoc",bench,"FALSE")+countifs(mspec,"Windwalker",bench,"FALSE")+countifs(mspec,"Enhancement",bench,"FALSE")+countifs(mainclass,"Death Knight", mspec,"Frost",bench,"FALSE")</f>
        <v>0</v>
      </c>
      <c r="M3" s="13">
        <f>countif(E2:E99,"Rogue")+countif(D2:G99,"Unholy")+countif(D2:G99,"Feral")+countif(D2:G99,"Survival")+countif(D2:G99,"Fury")+countif(D2:G99,"Arms")+countif(D2:G99,"Retribution")+countif(D2:G99,"Havoc")+countif(D2:G99,"Windwalker")+countif(D2:G99,"Enhancement")+countifs(B2:B99,"Death Knight", D2:D99,"Frost")+countifs(E2:E99,"Death Knight", F2:F99,"Frost")+countifs(E2:E99,"Death Knight", G2:G99,"Frost")</f>
        <v>0</v>
      </c>
      <c r="N3" s="13"/>
      <c r="O3" s="13" t="s">
        <v>21</v>
      </c>
      <c r="P3" s="10">
        <f>countifs(mainclass,"Warrior",bench,"FALSE")</f>
        <v>0</v>
      </c>
      <c r="Q3" s="10">
        <f>countif(altclass,"Warrior")</f>
        <v>0</v>
      </c>
      <c r="S3" s="13" t="s">
        <v>22</v>
      </c>
      <c r="T3" s="10">
        <f>countifs(mainclass,"Druid",bench,"FALSE")+countifs(mainclass,"Monk",bench,"FALSE")+countifs(mainclass,"Rogue",bench,"FALSE")+countifs(mainclass,"Demon Hunter",bench,"FALSE")</f>
        <v>4</v>
      </c>
      <c r="U3" s="10">
        <f>countif(altclass,"Druid")+countif(altclass,"Demon Hunter")+countif(altclass,"Monk")+countif(altclass,"Rogue")</f>
        <v>2</v>
      </c>
    </row>
    <row r="4">
      <c r="A4" s="9"/>
      <c r="B4" s="13" t="s">
        <v>23</v>
      </c>
      <c r="C4" s="10"/>
      <c r="D4" s="10"/>
      <c r="E4" s="10"/>
      <c r="F4" s="10"/>
      <c r="G4" s="10"/>
      <c r="H4" s="12"/>
      <c r="I4" s="10" t="b">
        <v>0</v>
      </c>
      <c r="J4" s="10" t="b">
        <v>0</v>
      </c>
      <c r="K4" s="13" t="s">
        <v>24</v>
      </c>
      <c r="L4" s="10">
        <f>countifs(mainclass,"Mage",bench,"FALSE")+countifs(mainclass,"Warlock",bench,"FALSE")+countifs(mspec,"Marksmanship",bench,"FALSE")+countifs(mspec,"Beast Mastery",bench,"FALSE")+countifs(mspec,"Shadow",bench,"FALSE")+countifs(mspec,"Balance",bench,"FALSE")+countifs(mspec,"Elemental",bench,"FALSE")+countifs(mspec,"Devastation",bench,"FALSE")</f>
        <v>1</v>
      </c>
      <c r="M4" s="13">
        <f>countif(E2:E99,"Mage")+countif(E2:E99,"Warlock")+countif(D2:G99,"Marksmanship")+countif(D2:G99,"Beast Mastery")+countif(D2:G99,"Shadow")+countif(D2:G99,"Balance")+countif(D2:G99,"Elemental")+countif(D2:G99,"Devastation")</f>
        <v>1</v>
      </c>
      <c r="N4" s="13"/>
      <c r="O4" s="13" t="s">
        <v>25</v>
      </c>
      <c r="P4" s="10">
        <f>countifs(mainclass,"Priest",bench,"FALSE")</f>
        <v>0</v>
      </c>
      <c r="Q4" s="10">
        <f>countif(altclass,"Priest")</f>
        <v>0</v>
      </c>
      <c r="S4" s="13" t="s">
        <v>26</v>
      </c>
      <c r="T4" s="10">
        <f>countifs(mainclass,"Evoker",bench,"FALSE")+countifs(mainclass,"Hunter",bench,"FALSE")+countifs(mainclass,"Shaman",bench,"FALSE")</f>
        <v>3</v>
      </c>
      <c r="U4" s="10">
        <f>countif(altclass,"Shaman")+countif(altclass,"Hunter")+countif(altclass,"Evoker")</f>
        <v>0</v>
      </c>
    </row>
    <row r="5">
      <c r="A5" s="9"/>
      <c r="B5" s="11" t="s">
        <v>27</v>
      </c>
      <c r="C5" s="10"/>
      <c r="D5" s="10"/>
      <c r="E5" s="10"/>
      <c r="F5" s="10"/>
      <c r="G5" s="10"/>
      <c r="H5" s="12"/>
      <c r="I5" s="10" t="b">
        <v>0</v>
      </c>
      <c r="J5" s="10" t="b">
        <v>0</v>
      </c>
      <c r="K5" s="13" t="s">
        <v>28</v>
      </c>
      <c r="L5" s="10">
        <f>countifs(mspec,"Holy",bench,"FALSE")+Countifs(mspec,"Discipline",bench,"FALSE")+countifs(mspec,"Restoration",bench,"FALSE")+countifs(mspec,"Mistweaver",bench,"FALSE")+countifs(mspec,"Preservation",bench,"FALSE")</f>
        <v>0</v>
      </c>
      <c r="M5" s="13">
        <f>countif(D2:G99,"Holy")+Countif(D2:G99,"Discipline")+countif(D2:G99,"Restoration")+countif(D2:G99,"Mistweaver")+countif(D2:G99,"Preservation")</f>
        <v>0</v>
      </c>
      <c r="N5" s="13"/>
      <c r="O5" s="13" t="s">
        <v>29</v>
      </c>
      <c r="P5" s="10">
        <f>countifs(mainclass,"Paladin",bench,"FALSE")</f>
        <v>1</v>
      </c>
      <c r="Q5" s="10">
        <f>countif(altclass,"Paladin")</f>
        <v>0</v>
      </c>
      <c r="S5" s="13" t="s">
        <v>30</v>
      </c>
      <c r="T5" s="10">
        <f>countifs(mainclass,"Paladin",bench,"FALSE")+countifs(mainclass,"Warrior",bench,"FALSE")+countifs(mainclass,"Death Knight",bench,"FALSE")</f>
        <v>1</v>
      </c>
      <c r="U5" s="10">
        <f>countif(altclass,"Paladin")+countif(altclass,"Warrior")+countif(altclass,"Death Knight")</f>
        <v>1</v>
      </c>
    </row>
    <row r="6" ht="15.75" customHeight="1">
      <c r="A6" s="9"/>
      <c r="B6" s="13" t="s">
        <v>31</v>
      </c>
      <c r="C6" s="10"/>
      <c r="D6" s="10"/>
      <c r="E6" s="10"/>
      <c r="F6" s="10"/>
      <c r="G6" s="10"/>
      <c r="H6" s="17"/>
      <c r="I6" s="10" t="b">
        <v>0</v>
      </c>
      <c r="J6" s="10" t="b">
        <v>0</v>
      </c>
      <c r="K6" s="13" t="s">
        <v>32</v>
      </c>
      <c r="L6" s="10">
        <f>countifs(mspec,"Augmentation",bench,"FALSE")</f>
        <v>0</v>
      </c>
      <c r="M6" s="13">
        <f>countif(D2:G99,"Augmentation")</f>
        <v>0</v>
      </c>
      <c r="N6" s="13"/>
      <c r="O6" s="13" t="s">
        <v>33</v>
      </c>
      <c r="P6" s="10">
        <f>countifs(mainclass,"Monk",bench,"FALSE")</f>
        <v>1</v>
      </c>
      <c r="Q6" s="10">
        <f>countif(altclass,"Monk")</f>
        <v>0</v>
      </c>
    </row>
    <row r="7">
      <c r="A7" s="9"/>
      <c r="B7" s="5" t="s">
        <v>34</v>
      </c>
      <c r="C7" s="10"/>
      <c r="D7" s="10"/>
      <c r="E7" s="10"/>
      <c r="F7" s="10"/>
      <c r="G7" s="10"/>
      <c r="H7" s="12"/>
      <c r="I7" s="10" t="b">
        <v>0</v>
      </c>
      <c r="J7" s="10" t="b">
        <v>0</v>
      </c>
      <c r="N7" s="13"/>
      <c r="O7" s="13" t="s">
        <v>35</v>
      </c>
      <c r="P7" s="10">
        <f>countifs(mainclass,"Demon Hunter",bench,"FALSE")</f>
        <v>2</v>
      </c>
      <c r="Q7" s="10">
        <f>countif(altclass,"Demon Hunter")</f>
        <v>2</v>
      </c>
    </row>
    <row r="8">
      <c r="A8" s="9"/>
      <c r="B8" s="13" t="s">
        <v>36</v>
      </c>
      <c r="C8" s="10"/>
      <c r="D8" s="10"/>
      <c r="E8" s="10"/>
      <c r="F8" s="10"/>
      <c r="G8" s="10"/>
      <c r="H8" s="12"/>
      <c r="I8" s="10" t="b">
        <v>0</v>
      </c>
      <c r="J8" s="10" t="b">
        <v>0</v>
      </c>
      <c r="K8" s="6" t="s">
        <v>37</v>
      </c>
      <c r="L8" s="7" t="s">
        <v>9</v>
      </c>
      <c r="M8" s="7" t="s">
        <v>13</v>
      </c>
      <c r="O8" s="13" t="s">
        <v>38</v>
      </c>
      <c r="P8" s="18">
        <f>countifs(mainclass,"Druid",bench,"FALSE")</f>
        <v>1</v>
      </c>
      <c r="Q8" s="18">
        <f>countif(altclass,"Druid")</f>
        <v>0</v>
      </c>
    </row>
    <row r="9">
      <c r="A9" s="9"/>
      <c r="B9" s="10"/>
      <c r="C9" s="10"/>
      <c r="D9" s="10"/>
      <c r="E9" s="10"/>
      <c r="F9" s="10"/>
      <c r="G9" s="10"/>
      <c r="H9" s="12"/>
      <c r="I9" s="10" t="b">
        <v>0</v>
      </c>
      <c r="J9" s="10" t="b">
        <v>0</v>
      </c>
      <c r="K9" s="19" t="s">
        <v>39</v>
      </c>
      <c r="L9" s="20">
        <f>countifs(mainclass,"Death Knight",bench,"FALSE")</f>
        <v>0</v>
      </c>
      <c r="M9" s="13">
        <f>countif(altclass,"Death Knight")</f>
        <v>1</v>
      </c>
      <c r="N9" s="5"/>
      <c r="O9" s="6" t="s">
        <v>40</v>
      </c>
      <c r="P9" s="7" t="s">
        <v>9</v>
      </c>
      <c r="Q9" s="7" t="s">
        <v>10</v>
      </c>
      <c r="S9" s="6" t="s">
        <v>40</v>
      </c>
      <c r="T9" s="7" t="s">
        <v>9</v>
      </c>
      <c r="U9" s="7" t="s">
        <v>10</v>
      </c>
    </row>
    <row r="10">
      <c r="A10" s="9"/>
      <c r="B10" s="10"/>
      <c r="C10" s="10"/>
      <c r="D10" s="10"/>
      <c r="E10" s="10"/>
      <c r="F10" s="10"/>
      <c r="G10" s="10"/>
      <c r="H10" s="12"/>
      <c r="I10" s="10" t="b">
        <v>0</v>
      </c>
      <c r="J10" s="10" t="b">
        <v>0</v>
      </c>
      <c r="K10" s="21" t="s">
        <v>18</v>
      </c>
      <c r="L10" s="14">
        <f>countifs(mainclass,"Demon Hunter",bench,"FALSE")</f>
        <v>2</v>
      </c>
      <c r="M10" s="13">
        <f>countif(altclass,"Demon Hunter")</f>
        <v>2</v>
      </c>
      <c r="N10" s="13"/>
      <c r="O10" s="13" t="s">
        <v>41</v>
      </c>
      <c r="P10" s="10">
        <f>countifs(mainclass,"Mage",bench,"FALSE")+countifs(mainclass,"Shaman",bench,"FALSE")+countifs(mainclass,"Evoker",bench,"FALSE")</f>
        <v>3</v>
      </c>
      <c r="Q10" s="10">
        <f>countif(altclass,"Mage")+countif(altclass,"Shaman")+countif(altclass,"Evoker")</f>
        <v>1</v>
      </c>
      <c r="S10" s="13" t="s">
        <v>42</v>
      </c>
      <c r="T10" s="10">
        <f>countifs(mainclass,"Evoker",bench,"FALSE")+countifs(mainclass,"Monk",bench,"FALSE")+countifs(mainclass,"Druid",bench,"FALSE")+countifs(mainclass,"Shaman",bench,"FALSE")+countifs(mainclass,"Hunter",bench,"FALSE")+countifs(mainclass,"Mage",bench,"FALSE")</f>
        <v>6</v>
      </c>
      <c r="U10" s="10">
        <f>countif(altclass,"Evoker")+countif(altclass,"Monk")+countif(altclass,"Druid")+countif(altclass,"Shaman")+countif(altclass,"Hunter")+countif(altclass,"Mage")</f>
        <v>1</v>
      </c>
    </row>
    <row r="11" ht="18.0" customHeight="1">
      <c r="A11" s="9"/>
      <c r="B11" s="10"/>
      <c r="C11" s="10"/>
      <c r="D11" s="10"/>
      <c r="E11" s="10"/>
      <c r="F11" s="10"/>
      <c r="G11" s="10"/>
      <c r="H11" s="17"/>
      <c r="I11" s="10" t="b">
        <v>0</v>
      </c>
      <c r="J11" s="10" t="b">
        <v>0</v>
      </c>
      <c r="K11" s="22" t="s">
        <v>34</v>
      </c>
      <c r="L11" s="14">
        <f>countifs(mainclass,"Evoker",bench,"FALSE")</f>
        <v>1</v>
      </c>
      <c r="M11" s="13">
        <f>countif(altclass,"Evoker")</f>
        <v>0</v>
      </c>
      <c r="N11" s="13"/>
      <c r="O11" s="13" t="s">
        <v>43</v>
      </c>
      <c r="P11" s="10">
        <f>countifs(mainclass,"Druid",bench,"FALSE")+countifs(mainclass,"Warlock",bench,"FALSE")+countifs(mainclass,"Death Knight",bench,"FALSE")+countifs(mainclass,"Paladin",bench,"FALSE")</f>
        <v>2</v>
      </c>
      <c r="Q11" s="10">
        <f>countif(altclass,"Druid")+countif(altclass,"Warlock")+countif(altclass,"Death Knight")+countif(altclass,"Paladin")+countif(mainclass,"Druid")+countif(mainclass,"Warlock")+countif(mainclass,"Death Knight")+countif(mainclass,"Paladin")</f>
        <v>3</v>
      </c>
      <c r="S11" s="13" t="s">
        <v>44</v>
      </c>
      <c r="T11" s="10">
        <f>countifs(mspec,"Arms",bench,"FALSE")+countifs(mspec,"Havoc",bench,"FALSE")+countifs(mainclass,"Rogue",bench,"FALSE")</f>
        <v>0</v>
      </c>
      <c r="U11" s="10">
        <f>countif(mospec,"Arms")+countif(mospec,"Havoc")+countif(aospec,"Arms")+countif(aospec,"Havoc")+countif(aspec,"Arms")+countif(aspec,"Havoc")+countif(altclass,"Rogue")</f>
        <v>0</v>
      </c>
    </row>
    <row r="12">
      <c r="A12" s="9"/>
      <c r="B12" s="10"/>
      <c r="C12" s="10"/>
      <c r="D12" s="10"/>
      <c r="E12" s="10"/>
      <c r="F12" s="10"/>
      <c r="G12" s="10"/>
      <c r="H12" s="12"/>
      <c r="I12" s="10" t="b">
        <v>0</v>
      </c>
      <c r="J12" s="10" t="b">
        <v>0</v>
      </c>
      <c r="K12" s="23" t="s">
        <v>45</v>
      </c>
      <c r="L12" s="14">
        <f>countifs(mainclass,"Druid",bench,"FALSE")</f>
        <v>1</v>
      </c>
      <c r="M12" s="13">
        <f>countif(altclass,"Druid")</f>
        <v>0</v>
      </c>
      <c r="N12" s="13"/>
      <c r="O12" s="13" t="s">
        <v>46</v>
      </c>
      <c r="P12" s="10">
        <f>countifs(mainclass,"Druid",bench,"FALSE")+countifs(mainclass,"Shaman",bench,"FALSE")</f>
        <v>2</v>
      </c>
      <c r="Q12" s="10">
        <f>countif(altclass,"Druid")+countif(altclass,"Shaman")</f>
        <v>0</v>
      </c>
      <c r="S12" s="13" t="s">
        <v>47</v>
      </c>
      <c r="T12" s="10">
        <f>countifs(mainclass,"Evoker",bench,"FALSE")+countifs(mainclass,"Monk",bench,"FALSE")+countifs(mainclass,"Druid",bench,"FALSE")+countifs(mainclass,"Hunter",bench,"FALSE")</f>
        <v>4</v>
      </c>
      <c r="U12" s="10">
        <f>countif(altclass,"Evoker")+countif(altclass,"Monk")+countif(altclass,"Druid")+countif(altclass,"Hunter")</f>
        <v>0</v>
      </c>
    </row>
    <row r="13">
      <c r="A13" s="9"/>
      <c r="B13" s="10"/>
      <c r="C13" s="10"/>
      <c r="D13" s="10"/>
      <c r="E13" s="10"/>
      <c r="F13" s="10"/>
      <c r="G13" s="10"/>
      <c r="H13" s="12"/>
      <c r="I13" s="10" t="b">
        <v>0</v>
      </c>
      <c r="J13" s="10" t="b">
        <v>0</v>
      </c>
      <c r="K13" s="24" t="s">
        <v>36</v>
      </c>
      <c r="L13" s="14">
        <f>countifs(mainclass,"Hunter",bench,"FALSE")</f>
        <v>1</v>
      </c>
      <c r="M13" s="13">
        <f>countif(altclass,"Hunter")</f>
        <v>0</v>
      </c>
      <c r="N13" s="13"/>
      <c r="O13" s="13" t="s">
        <v>48</v>
      </c>
      <c r="P13" s="10">
        <f>countifs(mainclass,"Warlock",bench,"FALSE")</f>
        <v>0</v>
      </c>
      <c r="Q13" s="10">
        <f>countif(altclass,"Warlock")</f>
        <v>0</v>
      </c>
      <c r="S13" s="13" t="s">
        <v>49</v>
      </c>
      <c r="T13" s="10">
        <f>countifs(mainclass,"Priest",bench,"FALSE")+countifs(mainclass,"Mage",bench,"FALSE")+countifs(mainclass,"Shaman",bench,"FALSE")+countifs(mainclass,"Hunter",bench,"FALSE")</f>
        <v>3</v>
      </c>
      <c r="U13" s="10">
        <f>countif(altclass,"Priest")+countif(altclass,"Mage")+countif(altclass,"Shaman")+countif(altclass,"Hunter")</f>
        <v>1</v>
      </c>
    </row>
    <row r="14">
      <c r="A14" s="9"/>
      <c r="B14" s="10"/>
      <c r="C14" s="10"/>
      <c r="D14" s="10"/>
      <c r="E14" s="10"/>
      <c r="F14" s="10"/>
      <c r="G14" s="10"/>
      <c r="H14" s="12"/>
      <c r="I14" s="10" t="b">
        <v>0</v>
      </c>
      <c r="J14" s="10" t="b">
        <v>0</v>
      </c>
      <c r="K14" s="25" t="s">
        <v>50</v>
      </c>
      <c r="L14" s="14">
        <f>countifs(mainclass,"Mage",bench,"FALSE")</f>
        <v>1</v>
      </c>
      <c r="M14" s="13">
        <f>countif(altclass,"Mage")</f>
        <v>1</v>
      </c>
      <c r="N14" s="13"/>
      <c r="O14" s="13" t="s">
        <v>51</v>
      </c>
      <c r="P14" s="26">
        <f>countifs(mainclass,"Priest",bench,"FALSE")+countifs(mspec,"Mistweaver",bench,"FALSE")</f>
        <v>0</v>
      </c>
      <c r="Q14" s="10">
        <f>countif(altclass,"Priest")+countif(mospec,"Mistweaver")+countif(aospec,"Mistweaver")+countif(aspec,"Mistweaver")</f>
        <v>0</v>
      </c>
      <c r="S14" s="13" t="s">
        <v>52</v>
      </c>
      <c r="T14" s="10">
        <f>countifs(mainclass,"Priest",bench,"FALSE")</f>
        <v>0</v>
      </c>
      <c r="U14" s="10">
        <f>countif(altclass,"Priest")</f>
        <v>0</v>
      </c>
    </row>
    <row r="15">
      <c r="A15" s="9"/>
      <c r="B15" s="10"/>
      <c r="C15" s="10"/>
      <c r="D15" s="13"/>
      <c r="E15" s="10"/>
      <c r="F15" s="10"/>
      <c r="G15" s="13"/>
      <c r="H15" s="12"/>
      <c r="I15" s="10" t="b">
        <v>0</v>
      </c>
      <c r="J15" s="10" t="b">
        <v>0</v>
      </c>
      <c r="K15" s="27" t="s">
        <v>27</v>
      </c>
      <c r="L15" s="14">
        <f>countifs(mainclass,"Monk",bench,"FALSE")</f>
        <v>1</v>
      </c>
      <c r="M15" s="13">
        <f>countif(altclass,"Monk")</f>
        <v>0</v>
      </c>
      <c r="N15" s="13"/>
      <c r="O15" s="13" t="s">
        <v>53</v>
      </c>
      <c r="P15" s="10">
        <f>countifs(mainclass,"Druid",bench,"FALSE")</f>
        <v>1</v>
      </c>
      <c r="Q15" s="10">
        <f>COUNTIF(altclass,"Druid")</f>
        <v>0</v>
      </c>
      <c r="S15" s="13" t="s">
        <v>54</v>
      </c>
      <c r="T15" s="10">
        <f>countifs(mainclass,"Evoker",bench,"FALSE")+countifs(mainclass,"Warrior",bench,"FALSE")</f>
        <v>1</v>
      </c>
      <c r="U15" s="10">
        <f>countif(altclass,"Evoker")+countif(altclass,"Warrior")</f>
        <v>0</v>
      </c>
    </row>
    <row r="16">
      <c r="A16" s="9"/>
      <c r="B16" s="10"/>
      <c r="C16" s="10"/>
      <c r="D16" s="10"/>
      <c r="E16" s="10"/>
      <c r="F16" s="10"/>
      <c r="G16" s="10"/>
      <c r="H16" s="12"/>
      <c r="I16" s="10" t="b">
        <v>0</v>
      </c>
      <c r="J16" s="10" t="b">
        <v>0</v>
      </c>
      <c r="K16" s="28" t="s">
        <v>31</v>
      </c>
      <c r="L16" s="14">
        <f>countifs(mainclass,"Paladin",bench,"FALSE")</f>
        <v>1</v>
      </c>
      <c r="M16" s="13">
        <f>countif(altclass,"Paladin")</f>
        <v>0</v>
      </c>
      <c r="N16" s="13"/>
      <c r="O16" s="13" t="s">
        <v>55</v>
      </c>
      <c r="P16" s="10">
        <f>countifs(mainclass,"Death Knight",bench,"FALSE")</f>
        <v>0</v>
      </c>
      <c r="Q16" s="10">
        <f>countif(altclass,"Death Knight")</f>
        <v>1</v>
      </c>
      <c r="S16" s="13" t="s">
        <v>56</v>
      </c>
      <c r="T16" s="10">
        <f>countifs(mainclass,"Rogue",bench,"FALSE")+countifs(mspec,"Augmentation",bench,"FALSE")+countifs(mspec,"Fire",bench,"FALSE")+countifs(mspec,"Vengeance",bench,"FALSE")+countifs(mspec,"Blood",bench,"FALSE")+countifs(mainclass,"Priest",mspec,"Holy",bench,"FALSE")</f>
        <v>0</v>
      </c>
      <c r="U16" s="10">
        <f>countif(altclass,"Rogue")+countif(aspec,"Augmentation")+countif(aspec,"Fire")+countif(aspec,"Vengeance")+countif(aspec,"Blood")+countifs(mainclass,"Priest",aspec,"Holy")+countif(mospec,"Augmentation")+countif(mospec,"Fire")+countif(mospec,"Vengeance")+countif(mospec,"Blood")+countif(aospec,"Augmentation")+countif(aospec,"Fire")+countif(aospec,"Vengeance")+countif(aospec,"Blood")+countifs(altclass,"Priest",aspec,"Holy")+countifs(altclass,"Priest",aospec,"Holy")</f>
        <v>0</v>
      </c>
    </row>
    <row r="17">
      <c r="A17" s="9"/>
      <c r="B17" s="10"/>
      <c r="C17" s="10"/>
      <c r="D17" s="10"/>
      <c r="E17" s="10"/>
      <c r="F17" s="10"/>
      <c r="G17" s="10"/>
      <c r="H17" s="12"/>
      <c r="I17" s="10" t="b">
        <v>0</v>
      </c>
      <c r="J17" s="10" t="b">
        <v>0</v>
      </c>
      <c r="K17" s="29" t="s">
        <v>57</v>
      </c>
      <c r="L17" s="14">
        <f>countifs(mainclass,"Priest",bench,"FALSE")</f>
        <v>0</v>
      </c>
      <c r="M17" s="13">
        <f>countif(altclass,"Priest")</f>
        <v>0</v>
      </c>
      <c r="N17" s="13"/>
      <c r="O17" s="13" t="s">
        <v>58</v>
      </c>
      <c r="P17" s="10">
        <f>countifs(mainclass,"Paladin",bench,"FALSE")</f>
        <v>1</v>
      </c>
      <c r="Q17" s="10">
        <f>countif(altclass,"Paladin")</f>
        <v>0</v>
      </c>
      <c r="S17" s="13" t="s">
        <v>59</v>
      </c>
      <c r="T17" s="10">
        <f>countifs(mainclass,"Paladin",mspec,"Protection",bench,"FALSE")</f>
        <v>0</v>
      </c>
      <c r="U17" s="10">
        <f>countifs(altclass,"Paladin",aospec,"Protection")+countifs(mainclass,"Paladin",mospec,"Protection")+countifs(altclass,"Paladin",aspec,"Protection")</f>
        <v>0</v>
      </c>
    </row>
    <row r="18">
      <c r="A18" s="9"/>
      <c r="B18" s="10"/>
      <c r="C18" s="10"/>
      <c r="D18" s="10"/>
      <c r="E18" s="10"/>
      <c r="F18" s="10"/>
      <c r="G18" s="10"/>
      <c r="H18" s="12"/>
      <c r="I18" s="10" t="b">
        <v>0</v>
      </c>
      <c r="J18" s="10" t="b">
        <v>0</v>
      </c>
      <c r="K18" s="30" t="s">
        <v>60</v>
      </c>
      <c r="L18" s="14">
        <f>countifs(mainclass,"Rogue",bench,"FALSE")</f>
        <v>0</v>
      </c>
      <c r="M18" s="13">
        <f>countif(altclass,"Rogue")</f>
        <v>0</v>
      </c>
      <c r="N18" s="13"/>
      <c r="O18" s="13" t="s">
        <v>61</v>
      </c>
      <c r="P18" s="26">
        <f>countifs(mainclass,"Warrior",bench,"FALSE")</f>
        <v>0</v>
      </c>
      <c r="Q18" s="10">
        <f>countif(altclass,"Warrior")</f>
        <v>0</v>
      </c>
    </row>
    <row r="19">
      <c r="A19" s="9"/>
      <c r="B19" s="10"/>
      <c r="C19" s="10"/>
      <c r="D19" s="10"/>
      <c r="E19" s="10"/>
      <c r="F19" s="10"/>
      <c r="G19" s="10"/>
      <c r="H19" s="16"/>
      <c r="I19" s="10" t="b">
        <v>0</v>
      </c>
      <c r="J19" s="10" t="b">
        <v>0</v>
      </c>
      <c r="K19" s="31" t="s">
        <v>23</v>
      </c>
      <c r="L19" s="14">
        <f>countifs(mainclass,"Shaman",bench,"FALSE")</f>
        <v>1</v>
      </c>
      <c r="M19" s="10">
        <f>countif(altclass,"Shaman")</f>
        <v>0</v>
      </c>
      <c r="N19" s="13"/>
      <c r="O19" s="13" t="s">
        <v>62</v>
      </c>
      <c r="P19" s="10">
        <f>countifs(mainclass,"Demon Hunter",bench,"FALSE")</f>
        <v>2</v>
      </c>
      <c r="Q19" s="10">
        <f>countif(altclass,"Demon Hunter")</f>
        <v>2</v>
      </c>
    </row>
    <row r="20">
      <c r="A20" s="9"/>
      <c r="B20" s="10"/>
      <c r="C20" s="10"/>
      <c r="D20" s="10"/>
      <c r="E20" s="10"/>
      <c r="F20" s="10"/>
      <c r="G20" s="10"/>
      <c r="H20" s="16"/>
      <c r="I20" s="10" t="b">
        <v>0</v>
      </c>
      <c r="J20" s="10" t="b">
        <v>0</v>
      </c>
      <c r="K20" s="32" t="s">
        <v>63</v>
      </c>
      <c r="L20" s="14">
        <f>countifs(mainclass,"Warlock",bench,"FALSE")</f>
        <v>0</v>
      </c>
      <c r="M20" s="10">
        <f>countif(altclass,"Warlock")</f>
        <v>0</v>
      </c>
      <c r="O20" s="13" t="s">
        <v>64</v>
      </c>
      <c r="P20" s="10">
        <f>countifs(mainclass,"Paladin",bench,"FALSE")+countifs(mainclass,"Mage",bench,"FALSE")+countifs(mainclass,"Hunter",bench,"FALSE")</f>
        <v>3</v>
      </c>
      <c r="Q20" s="10">
        <f>countif(altclass,"Paladin")+countif(altclass,"Mage")+countif(altclass,"Hunter")</f>
        <v>1</v>
      </c>
      <c r="S20" s="6" t="s">
        <v>65</v>
      </c>
      <c r="T20" s="7" t="s">
        <v>9</v>
      </c>
      <c r="U20" s="7" t="s">
        <v>10</v>
      </c>
      <c r="V20" s="33" t="s">
        <v>66</v>
      </c>
    </row>
    <row r="21">
      <c r="A21" s="9"/>
      <c r="B21" s="10"/>
      <c r="C21" s="10"/>
      <c r="D21" s="10"/>
      <c r="E21" s="10"/>
      <c r="F21" s="10"/>
      <c r="G21" s="10"/>
      <c r="H21" s="16"/>
      <c r="I21" s="10" t="b">
        <v>0</v>
      </c>
      <c r="J21" s="10" t="b">
        <v>0</v>
      </c>
      <c r="K21" s="34" t="s">
        <v>67</v>
      </c>
      <c r="L21" s="14">
        <f>countifs(mainclass,"Warrior",bench,"FALSE")</f>
        <v>0</v>
      </c>
      <c r="M21" s="10">
        <f>countif(altclass,"Warrior")</f>
        <v>0</v>
      </c>
      <c r="O21" s="35" t="s">
        <v>68</v>
      </c>
      <c r="P21" s="36">
        <f>countifs(mainclass,"Shaman",bench,"FALSE")</f>
        <v>1</v>
      </c>
      <c r="Q21" s="36">
        <f>countif(altclass,"Shaman")</f>
        <v>0</v>
      </c>
      <c r="S21" s="13" t="s">
        <v>69</v>
      </c>
      <c r="T21" s="10">
        <f>countifs(mspec,"Fury",bench,"FALSE")+countifs(mspec,"Enhancement",bench,"FALSE")+countifs(mspec,"Retribution",bench,"FALSE")</f>
        <v>0</v>
      </c>
      <c r="U21" s="10">
        <f>countif(mospec,"Fury")+countif(mospec,"Enhancement")+countif(mospec,"Retribution")+countif(aspec,"Fury")+countif(aspec,"Enhancement")+countif(aspec,"Retribution")+countif(aospec,"Fury")+countif(aospec,"Enhancement")+countif(aospec,"Retribution")</f>
        <v>0</v>
      </c>
    </row>
    <row r="22">
      <c r="A22" s="9"/>
      <c r="B22" s="10"/>
      <c r="C22" s="10"/>
      <c r="D22" s="10"/>
      <c r="E22" s="10"/>
      <c r="F22" s="10"/>
      <c r="G22" s="10"/>
      <c r="H22" s="16"/>
      <c r="I22" s="10" t="b">
        <v>0</v>
      </c>
      <c r="J22" s="10" t="b">
        <v>0</v>
      </c>
      <c r="K22" s="6" t="s">
        <v>70</v>
      </c>
      <c r="L22" s="37">
        <f>SUM(mainroster)</f>
        <v>9</v>
      </c>
      <c r="M22" s="37">
        <f>SUM(altroster)</f>
        <v>4</v>
      </c>
      <c r="O22" s="13" t="s">
        <v>71</v>
      </c>
      <c r="P22" s="38">
        <f>countifs(mainclass,"Rogue",bench,"FALSE")</f>
        <v>0</v>
      </c>
      <c r="Q22" s="18">
        <f>countif(altclass,"Rogue")</f>
        <v>0</v>
      </c>
      <c r="S22" s="13" t="s">
        <v>72</v>
      </c>
      <c r="T22" s="13">
        <f>countifs(mspec,"Survival",bench,"FALSE")+countifs(mspec,"Assassination",bench,"FALSE")+countifs(mspec,"Subtlety",bench,"FALSE")+countifs(mspec,"Devastation",bench,"FALSE")+countifs(mspec,"Affliction",bench,"FALSE")+countifs(mspec,"Shadow",bench,"FALSE")+countifs(mspec,"Fire",bench,"FALSE")+countifs(mspec,"Marksman",bench,"FALSE")+countifs(mspec,"Augmentation",bench,"FALSE")+countifs(mspec,"Feral",bench,"FALSE")+countifs(mspec,"Havoc",bench,"FALSE")+countifs(mspec,"Windwalker",bench,"FALSE")+countifs(mspec,"Demonology",bench,"FALSE")+countifs(mspec,"Destruction",bench,"FALSE")+countifs(mspec,"Beast Mastery",bench,"FALSE")</f>
        <v>0</v>
      </c>
      <c r="U22" s="10">
        <f>countif(mospec,"Survival")+countif(mospec,"Assassination")+countif(mospec,"Subtlety")+countif(mospec,"Devastation")+countif(mospec,"Affliction")+countif(mospec,"Shadow")+countif(mospec,"Fire")+countif(mospec,"Marksman")+countif(mospec,"Augmentation")+countif(mospec,"Feral")+countif(mospec,"Havoc")+countif(mospec,"Windwalker")+countif(mospec,"Demonology")+countif(mospec,"Destruction")+countif(mospec,"Beast Mastery")+countif(aspec,"Survival")+countif(aspec,"Assassination")+countif(aspec,"Subtlety")+countif(aspec,"Devastation")+countif(aspec,"Affliction")+countif(aspec,"Shadow")+countif(aspec,"Fire")+countif(aspec,"Marksman")+countif(aspec,"Augmentation")+countif(aspec,"Feral")+countif(aspec,"Havoc")+countif(aspec,"Windwalker")+countif(aspec,"Demonology")+countif(aspec,"Destruction")+countif(aspec,"Beast Mastery")+countif(aospec,"Survival")+countif(aospec,"Assassination")+countif(aospec,"Subtlety")+countif(aospec,"Devastation")+countif(aospec,"Affliction")+countif(aospec,"Shadow")+countif(aospec,"Fire")+countif(aospec,"Marksman")+countif(aospec,"Augmentation")+countif(aospec,"Feral")+countif(aospec,"Havoc")+countif(aospec,"Windwalker")+countif(aospec,"Demonology")+countif(aospec,"Destruction")+countif(aospec,"Beast Mastery")</f>
        <v>0</v>
      </c>
    </row>
    <row r="23" ht="17.25" customHeight="1">
      <c r="A23" s="9"/>
      <c r="B23" s="10"/>
      <c r="C23" s="10"/>
      <c r="D23" s="10"/>
      <c r="E23" s="10"/>
      <c r="F23" s="10"/>
      <c r="G23" s="10"/>
      <c r="H23" s="16"/>
      <c r="I23" s="10" t="b">
        <v>0</v>
      </c>
      <c r="J23" s="10" t="b">
        <v>0</v>
      </c>
      <c r="O23" s="13" t="s">
        <v>73</v>
      </c>
      <c r="P23" s="18">
        <f>countifs(mainclass,"Evoker",bench,"FALSE")</f>
        <v>1</v>
      </c>
      <c r="Q23" s="18">
        <f>countif(altclass,"Evoker")</f>
        <v>0</v>
      </c>
      <c r="S23" s="13" t="s">
        <v>74</v>
      </c>
      <c r="T23" s="10">
        <f>countifs(mspec,"Balance",bench,"FALSE")+countifs(mspec,"unholy",bench,"FALSE")</f>
        <v>0</v>
      </c>
      <c r="U23" s="10">
        <f>countif(mospec,"Balance")+countif(mospec,"unholy")+countif(aspec,"Balance")+countif(aspec,"unholy")+countif(aospec,"Balance")+countif(aospec,"unholy")</f>
        <v>0</v>
      </c>
    </row>
    <row r="24" ht="18.0" customHeight="1">
      <c r="A24" s="39"/>
      <c r="B24" s="10"/>
      <c r="C24" s="10"/>
      <c r="D24" s="10"/>
      <c r="E24" s="10"/>
      <c r="F24" s="10"/>
      <c r="G24" s="10"/>
      <c r="H24" s="16"/>
      <c r="I24" s="10" t="b">
        <v>0</v>
      </c>
      <c r="J24" s="10" t="b">
        <v>0</v>
      </c>
      <c r="O24" s="13" t="s">
        <v>75</v>
      </c>
      <c r="P24" s="26">
        <f>countifs(mainclass,"Warrior",bench,"FALSE")+countifs(mainclass,"Paladin",bench,"FALSE")+countifs(mainclass,"Priest",bench,"FALSE")+countifs(mainclass,"Hunter",bench,"FALSE")+countifs(mspec,"Fire",bench,"FALSE")+countifs(mspec,"Assassination",bench,"FALSE")</f>
        <v>2</v>
      </c>
      <c r="Q24" s="26">
        <f>countif(altclass,"Warrior")+countif(altclass,"Paladin")+countif(altclass,"Priest")+countif(altclass,"Hunter")+countif(aspec,"Fire")+countif(aspec,"Assassination")+countif(aospec,"Fire")+countif(aospec,"Assassination")</f>
        <v>0</v>
      </c>
    </row>
    <row r="25">
      <c r="A25" s="39"/>
      <c r="B25" s="13" t="s">
        <v>45</v>
      </c>
      <c r="C25" s="10"/>
      <c r="D25" s="10"/>
      <c r="E25" s="13" t="s">
        <v>39</v>
      </c>
      <c r="F25" s="10"/>
      <c r="G25" s="10"/>
      <c r="H25" s="16"/>
      <c r="I25" s="10" t="b">
        <v>0</v>
      </c>
      <c r="J25" s="10" t="b">
        <v>0</v>
      </c>
      <c r="O25" s="13" t="s">
        <v>76</v>
      </c>
      <c r="P25" s="26">
        <f>countifs(mainclass,"Rogue",bench,"FALSE")+countifs(mainclass,"Death Knight",bench,"FALSE")+countifs(mainclass,"Warlock",bench,"FALSE")</f>
        <v>0</v>
      </c>
      <c r="Q25" s="40">
        <f>countif(altclass,"Rogue")+countif(altclass,"Death Knight")+countif(altclass,"Warlock")</f>
        <v>1</v>
      </c>
    </row>
    <row r="26">
      <c r="A26" s="39"/>
      <c r="B26" s="10"/>
      <c r="C26" s="10"/>
      <c r="D26" s="10"/>
      <c r="E26" s="10"/>
      <c r="F26" s="10"/>
      <c r="G26" s="10"/>
      <c r="H26" s="16"/>
      <c r="I26" s="10" t="b">
        <v>0</v>
      </c>
      <c r="J26" s="10" t="b">
        <v>0</v>
      </c>
      <c r="O26" s="35" t="s">
        <v>77</v>
      </c>
      <c r="P26" s="41">
        <f>countifs(mainclass,"Rogue",bench,"FALSE")+countifs(mainclass,"Warlock",bench,"FALSE")</f>
        <v>0</v>
      </c>
      <c r="Q26" s="41">
        <f>countif(altclass,"Rogue")+countif(altclass,"Warlock")</f>
        <v>0</v>
      </c>
    </row>
    <row r="27">
      <c r="A27" s="39"/>
      <c r="B27" s="10"/>
      <c r="C27" s="10"/>
      <c r="D27" s="10"/>
      <c r="E27" s="10"/>
      <c r="F27" s="10"/>
      <c r="G27" s="10"/>
      <c r="H27" s="16"/>
      <c r="I27" s="10" t="b">
        <v>0</v>
      </c>
      <c r="J27" s="10" t="b">
        <v>0</v>
      </c>
      <c r="O27" s="35"/>
      <c r="P27" s="36"/>
      <c r="Q27" s="36"/>
    </row>
    <row r="28">
      <c r="A28" s="39"/>
      <c r="B28" s="10"/>
      <c r="C28" s="10"/>
      <c r="D28" s="10"/>
      <c r="E28" s="10"/>
      <c r="F28" s="10"/>
      <c r="G28" s="10"/>
      <c r="H28" s="16"/>
      <c r="I28" s="10" t="b">
        <v>0</v>
      </c>
      <c r="J28" s="10" t="b">
        <v>0</v>
      </c>
      <c r="O28" s="35"/>
      <c r="P28" s="36"/>
      <c r="Q28" s="36"/>
    </row>
    <row r="29">
      <c r="A29" s="39"/>
      <c r="B29" s="10"/>
      <c r="C29" s="10"/>
      <c r="D29" s="10"/>
      <c r="E29" s="10"/>
      <c r="F29" s="10"/>
      <c r="G29" s="10"/>
      <c r="H29" s="16"/>
      <c r="I29" s="10" t="b">
        <v>0</v>
      </c>
      <c r="J29" s="10" t="b">
        <v>0</v>
      </c>
      <c r="K29" s="42" t="s">
        <v>78</v>
      </c>
      <c r="P29" s="43"/>
      <c r="Q29" s="43"/>
    </row>
    <row r="30">
      <c r="A30" s="9"/>
      <c r="B30" s="13"/>
      <c r="C30" s="10"/>
      <c r="D30" s="10"/>
      <c r="E30" s="10"/>
      <c r="F30" s="10"/>
      <c r="G30" s="10"/>
      <c r="H30" s="16"/>
      <c r="I30" s="10" t="b">
        <v>0</v>
      </c>
      <c r="J30" s="10" t="b">
        <v>0</v>
      </c>
      <c r="K30" s="44" t="s">
        <v>79</v>
      </c>
      <c r="P30" s="43"/>
      <c r="Q30" s="43"/>
    </row>
    <row r="31">
      <c r="A31" s="45"/>
      <c r="B31" s="46" t="s">
        <v>50</v>
      </c>
      <c r="C31" s="47"/>
      <c r="D31" s="47"/>
      <c r="E31" s="48" t="s">
        <v>18</v>
      </c>
      <c r="F31" s="47"/>
      <c r="G31" s="47"/>
      <c r="H31" s="49"/>
      <c r="I31" s="10" t="b">
        <v>0</v>
      </c>
      <c r="J31" s="10" t="b">
        <v>0</v>
      </c>
      <c r="K31" s="50"/>
      <c r="P31" s="43"/>
      <c r="Q31" s="43"/>
    </row>
    <row r="32" outlineLevel="1">
      <c r="B32" s="13" t="s">
        <v>18</v>
      </c>
      <c r="C32" s="10"/>
      <c r="D32" s="10"/>
      <c r="E32" s="13" t="s">
        <v>50</v>
      </c>
      <c r="F32" s="10"/>
      <c r="G32" s="10"/>
      <c r="I32" s="10" t="b">
        <v>0</v>
      </c>
      <c r="J32" s="10" t="b">
        <v>0</v>
      </c>
      <c r="P32" s="43"/>
      <c r="Q32" s="43"/>
    </row>
    <row r="33" outlineLevel="1">
      <c r="B33" s="10"/>
      <c r="C33" s="10"/>
      <c r="D33" s="10"/>
      <c r="E33" s="10"/>
      <c r="F33" s="10"/>
      <c r="G33" s="10"/>
      <c r="I33" s="10" t="b">
        <v>0</v>
      </c>
      <c r="J33" s="10" t="b">
        <v>0</v>
      </c>
      <c r="K33" s="51"/>
    </row>
    <row r="34" outlineLevel="1">
      <c r="B34" s="10"/>
      <c r="C34" s="10"/>
      <c r="D34" s="10"/>
      <c r="E34" s="10"/>
      <c r="F34" s="10"/>
      <c r="G34" s="10"/>
      <c r="I34" s="10" t="b">
        <v>0</v>
      </c>
      <c r="J34" s="10" t="b">
        <v>0</v>
      </c>
      <c r="K34" s="44"/>
    </row>
    <row r="35" outlineLevel="1">
      <c r="B35" s="10"/>
      <c r="C35" s="10"/>
      <c r="D35" s="10"/>
      <c r="E35" s="10"/>
      <c r="F35" s="10"/>
      <c r="G35" s="10"/>
      <c r="I35" s="10" t="b">
        <v>0</v>
      </c>
      <c r="J35" s="10" t="b">
        <v>0</v>
      </c>
      <c r="K35" s="52"/>
    </row>
    <row r="36" outlineLevel="1">
      <c r="B36" s="10"/>
      <c r="C36" s="10"/>
      <c r="D36" s="10"/>
      <c r="E36" s="10"/>
      <c r="F36" s="10"/>
      <c r="G36" s="10"/>
      <c r="I36" s="10" t="b">
        <v>0</v>
      </c>
      <c r="J36" s="10" t="b">
        <v>0</v>
      </c>
      <c r="K36" s="52"/>
    </row>
    <row r="37" outlineLevel="1">
      <c r="B37" s="10"/>
      <c r="C37" s="10"/>
      <c r="D37" s="10"/>
      <c r="E37" s="10"/>
      <c r="F37" s="10"/>
      <c r="G37" s="10"/>
      <c r="I37" s="10" t="b">
        <v>0</v>
      </c>
      <c r="J37" s="10" t="b">
        <v>0</v>
      </c>
    </row>
    <row r="38" outlineLevel="1">
      <c r="B38" s="10"/>
      <c r="C38" s="10"/>
      <c r="D38" s="10"/>
      <c r="E38" s="10"/>
      <c r="F38" s="10"/>
      <c r="G38" s="10"/>
      <c r="I38" s="10" t="b">
        <v>0</v>
      </c>
      <c r="J38" s="10" t="b">
        <v>0</v>
      </c>
    </row>
    <row r="39" outlineLevel="1">
      <c r="B39" s="10"/>
      <c r="C39" s="10"/>
      <c r="D39" s="10"/>
      <c r="E39" s="10"/>
      <c r="F39" s="10"/>
      <c r="G39" s="10"/>
      <c r="I39" s="10" t="b">
        <v>0</v>
      </c>
      <c r="J39" s="10" t="b">
        <v>0</v>
      </c>
    </row>
    <row r="40" collapsed="1">
      <c r="B40" s="10"/>
      <c r="C40" s="10"/>
      <c r="D40" s="10"/>
      <c r="E40" s="10"/>
      <c r="F40" s="10"/>
      <c r="G40" s="10"/>
      <c r="I40" s="10" t="b">
        <v>0</v>
      </c>
      <c r="J40" s="10" t="b">
        <v>0</v>
      </c>
      <c r="K40" s="50" t="s">
        <v>80</v>
      </c>
    </row>
    <row r="41" hidden="1" outlineLevel="1">
      <c r="B41" s="10"/>
      <c r="C41" s="10"/>
      <c r="D41" s="10"/>
      <c r="E41" s="10"/>
      <c r="F41" s="10"/>
      <c r="G41" s="10"/>
      <c r="I41" s="10" t="b">
        <v>0</v>
      </c>
      <c r="J41" s="10" t="b">
        <v>0</v>
      </c>
    </row>
    <row r="42" hidden="1" outlineLevel="1">
      <c r="B42" s="10"/>
      <c r="C42" s="10"/>
      <c r="D42" s="10"/>
      <c r="E42" s="10"/>
      <c r="F42" s="10"/>
      <c r="G42" s="10"/>
      <c r="I42" s="10" t="b">
        <v>0</v>
      </c>
      <c r="J42" s="10" t="b">
        <v>0</v>
      </c>
    </row>
    <row r="43" hidden="1" outlineLevel="1">
      <c r="B43" s="10"/>
      <c r="C43" s="10"/>
      <c r="D43" s="10"/>
      <c r="E43" s="10"/>
      <c r="F43" s="10"/>
      <c r="G43" s="10"/>
      <c r="I43" s="10" t="b">
        <v>0</v>
      </c>
      <c r="J43" s="10" t="b">
        <v>0</v>
      </c>
    </row>
    <row r="44" hidden="1" outlineLevel="1">
      <c r="B44" s="10"/>
      <c r="C44" s="10"/>
      <c r="D44" s="10"/>
      <c r="E44" s="10"/>
      <c r="F44" s="10"/>
      <c r="G44" s="10"/>
      <c r="I44" s="10" t="b">
        <v>0</v>
      </c>
      <c r="J44" s="10" t="b">
        <v>0</v>
      </c>
    </row>
    <row r="45" hidden="1" outlineLevel="1">
      <c r="B45" s="10"/>
      <c r="C45" s="10"/>
      <c r="D45" s="10"/>
      <c r="E45" s="10"/>
      <c r="F45" s="10"/>
      <c r="G45" s="10"/>
      <c r="I45" s="10" t="b">
        <v>0</v>
      </c>
      <c r="J45" s="10" t="b">
        <v>0</v>
      </c>
    </row>
    <row r="46" hidden="1" outlineLevel="1">
      <c r="B46" s="10"/>
      <c r="C46" s="10"/>
      <c r="D46" s="10"/>
      <c r="E46" s="10"/>
      <c r="F46" s="10"/>
      <c r="G46" s="10"/>
      <c r="I46" s="10" t="b">
        <v>0</v>
      </c>
      <c r="J46" s="10" t="b">
        <v>0</v>
      </c>
    </row>
    <row r="47" hidden="1" outlineLevel="1">
      <c r="B47" s="10"/>
      <c r="C47" s="10"/>
      <c r="D47" s="10"/>
      <c r="E47" s="10"/>
      <c r="F47" s="10"/>
      <c r="G47" s="10"/>
      <c r="I47" s="10" t="b">
        <v>0</v>
      </c>
      <c r="J47" s="10" t="b">
        <v>0</v>
      </c>
    </row>
    <row r="48" hidden="1" outlineLevel="1">
      <c r="B48" s="10"/>
      <c r="C48" s="10"/>
      <c r="D48" s="10"/>
      <c r="E48" s="10"/>
      <c r="F48" s="10"/>
      <c r="G48" s="10"/>
      <c r="I48" s="10" t="b">
        <v>0</v>
      </c>
      <c r="J48" s="10" t="b">
        <v>0</v>
      </c>
    </row>
    <row r="49" hidden="1" outlineLevel="1">
      <c r="B49" s="10"/>
      <c r="C49" s="10"/>
      <c r="D49" s="10"/>
      <c r="E49" s="10"/>
      <c r="F49" s="10"/>
      <c r="G49" s="10"/>
      <c r="I49" s="10" t="b">
        <v>0</v>
      </c>
      <c r="J49" s="10" t="b">
        <v>0</v>
      </c>
    </row>
    <row r="50" collapsed="1">
      <c r="B50" s="10"/>
      <c r="C50" s="10"/>
      <c r="D50" s="10"/>
      <c r="E50" s="10"/>
      <c r="F50" s="10"/>
      <c r="G50" s="10"/>
      <c r="I50" s="10" t="b">
        <v>0</v>
      </c>
      <c r="J50" s="10" t="b">
        <v>0</v>
      </c>
      <c r="K50" s="51" t="s">
        <v>81</v>
      </c>
    </row>
    <row r="51" hidden="1" outlineLevel="1">
      <c r="B51" s="10"/>
      <c r="C51" s="10"/>
      <c r="D51" s="10"/>
      <c r="E51" s="10"/>
      <c r="F51" s="10"/>
      <c r="G51" s="10"/>
      <c r="I51" s="10" t="b">
        <v>0</v>
      </c>
      <c r="J51" s="10" t="b">
        <v>0</v>
      </c>
    </row>
    <row r="52" hidden="1" outlineLevel="1">
      <c r="B52" s="10"/>
      <c r="C52" s="10"/>
      <c r="D52" s="10"/>
      <c r="E52" s="10"/>
      <c r="F52" s="10"/>
      <c r="G52" s="10"/>
      <c r="I52" s="10" t="b">
        <v>0</v>
      </c>
      <c r="J52" s="10" t="b">
        <v>0</v>
      </c>
    </row>
    <row r="53" hidden="1" outlineLevel="1">
      <c r="B53" s="10"/>
      <c r="C53" s="10"/>
      <c r="D53" s="10"/>
      <c r="E53" s="10"/>
      <c r="F53" s="10"/>
      <c r="G53" s="10"/>
      <c r="I53" s="10" t="b">
        <v>0</v>
      </c>
      <c r="J53" s="10" t="b">
        <v>0</v>
      </c>
    </row>
    <row r="54" hidden="1" outlineLevel="1">
      <c r="B54" s="10"/>
      <c r="C54" s="10"/>
      <c r="D54" s="10"/>
      <c r="E54" s="10"/>
      <c r="F54" s="10"/>
      <c r="G54" s="10"/>
      <c r="I54" s="10" t="b">
        <v>0</v>
      </c>
      <c r="J54" s="10" t="b">
        <v>0</v>
      </c>
    </row>
    <row r="55" hidden="1" outlineLevel="1">
      <c r="B55" s="10"/>
      <c r="C55" s="10"/>
      <c r="D55" s="10"/>
      <c r="E55" s="10"/>
      <c r="F55" s="10"/>
      <c r="G55" s="10"/>
      <c r="I55" s="10" t="b">
        <v>0</v>
      </c>
      <c r="J55" s="10" t="b">
        <v>0</v>
      </c>
    </row>
    <row r="56" hidden="1" outlineLevel="1">
      <c r="B56" s="10"/>
      <c r="C56" s="10"/>
      <c r="D56" s="10"/>
      <c r="E56" s="10"/>
      <c r="F56" s="10"/>
      <c r="G56" s="10"/>
      <c r="I56" s="10" t="b">
        <v>0</v>
      </c>
      <c r="J56" s="10" t="b">
        <v>0</v>
      </c>
    </row>
    <row r="57" hidden="1" outlineLevel="1">
      <c r="B57" s="10"/>
      <c r="C57" s="10"/>
      <c r="D57" s="10"/>
      <c r="E57" s="10"/>
      <c r="F57" s="10"/>
      <c r="G57" s="10"/>
      <c r="I57" s="10" t="b">
        <v>0</v>
      </c>
      <c r="J57" s="10" t="b">
        <v>0</v>
      </c>
    </row>
    <row r="58" hidden="1" outlineLevel="1">
      <c r="B58" s="10"/>
      <c r="C58" s="10"/>
      <c r="D58" s="10"/>
      <c r="E58" s="10"/>
      <c r="F58" s="10"/>
      <c r="G58" s="10"/>
      <c r="I58" s="10" t="b">
        <v>0</v>
      </c>
      <c r="J58" s="10" t="b">
        <v>0</v>
      </c>
    </row>
    <row r="59" hidden="1" outlineLevel="1">
      <c r="B59" s="10"/>
      <c r="C59" s="10"/>
      <c r="D59" s="10"/>
      <c r="E59" s="10"/>
      <c r="F59" s="10"/>
      <c r="G59" s="10"/>
      <c r="I59" s="10" t="b">
        <v>0</v>
      </c>
      <c r="J59" s="10" t="b">
        <v>0</v>
      </c>
    </row>
    <row r="60" collapsed="1">
      <c r="B60" s="10"/>
      <c r="C60" s="10"/>
      <c r="D60" s="10"/>
      <c r="E60" s="10"/>
      <c r="F60" s="10"/>
      <c r="G60" s="10"/>
      <c r="I60" s="10" t="b">
        <v>0</v>
      </c>
      <c r="J60" s="10" t="b">
        <v>0</v>
      </c>
      <c r="K60" s="44" t="s">
        <v>82</v>
      </c>
    </row>
    <row r="61" hidden="1" outlineLevel="1">
      <c r="B61" s="10"/>
      <c r="C61" s="10"/>
      <c r="D61" s="10"/>
      <c r="E61" s="10"/>
      <c r="F61" s="10"/>
      <c r="G61" s="10"/>
      <c r="I61" s="10" t="b">
        <v>0</v>
      </c>
      <c r="J61" s="10" t="b">
        <v>0</v>
      </c>
    </row>
    <row r="62" hidden="1" outlineLevel="1">
      <c r="B62" s="10"/>
      <c r="C62" s="10"/>
      <c r="D62" s="10"/>
      <c r="E62" s="10"/>
      <c r="F62" s="10"/>
      <c r="G62" s="10"/>
      <c r="I62" s="10" t="b">
        <v>0</v>
      </c>
      <c r="J62" s="10" t="b">
        <v>0</v>
      </c>
    </row>
    <row r="63" hidden="1" outlineLevel="1">
      <c r="B63" s="10"/>
      <c r="C63" s="10"/>
      <c r="D63" s="10"/>
      <c r="E63" s="10"/>
      <c r="F63" s="10"/>
      <c r="G63" s="10"/>
      <c r="I63" s="10" t="b">
        <v>0</v>
      </c>
      <c r="J63" s="10" t="b">
        <v>0</v>
      </c>
    </row>
    <row r="64" hidden="1" outlineLevel="1">
      <c r="B64" s="10"/>
      <c r="C64" s="10"/>
      <c r="D64" s="10"/>
      <c r="E64" s="10"/>
      <c r="F64" s="10"/>
      <c r="G64" s="10"/>
      <c r="I64" s="10" t="b">
        <v>0</v>
      </c>
      <c r="J64" s="10" t="b">
        <v>0</v>
      </c>
    </row>
    <row r="65" hidden="1" outlineLevel="1">
      <c r="B65" s="10"/>
      <c r="C65" s="10"/>
      <c r="D65" s="10"/>
      <c r="E65" s="10"/>
      <c r="F65" s="10"/>
      <c r="G65" s="10"/>
      <c r="I65" s="10" t="b">
        <v>0</v>
      </c>
      <c r="J65" s="10" t="b">
        <v>0</v>
      </c>
    </row>
    <row r="66" hidden="1" outlineLevel="1">
      <c r="B66" s="10"/>
      <c r="C66" s="10"/>
      <c r="D66" s="10"/>
      <c r="E66" s="10"/>
      <c r="F66" s="10"/>
      <c r="G66" s="10"/>
      <c r="I66" s="10" t="b">
        <v>0</v>
      </c>
      <c r="J66" s="10" t="b">
        <v>0</v>
      </c>
    </row>
    <row r="67" hidden="1" outlineLevel="1">
      <c r="B67" s="10"/>
      <c r="C67" s="10"/>
      <c r="D67" s="10"/>
      <c r="E67" s="10"/>
      <c r="F67" s="10"/>
      <c r="G67" s="10"/>
      <c r="I67" s="10" t="b">
        <v>0</v>
      </c>
      <c r="J67" s="10" t="b">
        <v>0</v>
      </c>
    </row>
    <row r="68" hidden="1" outlineLevel="1">
      <c r="B68" s="10"/>
      <c r="C68" s="10"/>
      <c r="D68" s="10"/>
      <c r="E68" s="10"/>
      <c r="F68" s="10"/>
      <c r="G68" s="10"/>
      <c r="I68" s="10" t="b">
        <v>0</v>
      </c>
      <c r="J68" s="10" t="b">
        <v>0</v>
      </c>
    </row>
    <row r="69" hidden="1" outlineLevel="1">
      <c r="B69" s="10"/>
      <c r="C69" s="10"/>
      <c r="D69" s="10"/>
      <c r="E69" s="10"/>
      <c r="F69" s="10"/>
      <c r="G69" s="10"/>
      <c r="I69" s="10" t="b">
        <v>0</v>
      </c>
      <c r="J69" s="10" t="b">
        <v>0</v>
      </c>
    </row>
    <row r="70" hidden="1" outlineLevel="1">
      <c r="B70" s="10"/>
      <c r="C70" s="10"/>
      <c r="D70" s="10"/>
      <c r="E70" s="10"/>
      <c r="F70" s="10"/>
      <c r="G70" s="10"/>
      <c r="I70" s="10" t="b">
        <v>0</v>
      </c>
      <c r="J70" s="10" t="b">
        <v>0</v>
      </c>
    </row>
    <row r="71" hidden="1" outlineLevel="1">
      <c r="B71" s="10"/>
      <c r="C71" s="10"/>
      <c r="D71" s="10"/>
      <c r="E71" s="10"/>
      <c r="F71" s="10"/>
      <c r="G71" s="10"/>
      <c r="I71" s="10" t="b">
        <v>0</v>
      </c>
      <c r="J71" s="10" t="b">
        <v>0</v>
      </c>
    </row>
    <row r="72" hidden="1" outlineLevel="1">
      <c r="B72" s="10"/>
      <c r="C72" s="10"/>
      <c r="D72" s="10"/>
      <c r="E72" s="10"/>
      <c r="F72" s="10"/>
      <c r="G72" s="10"/>
      <c r="I72" s="10" t="b">
        <v>0</v>
      </c>
      <c r="J72" s="10" t="b">
        <v>0</v>
      </c>
    </row>
    <row r="73" hidden="1" outlineLevel="1">
      <c r="B73" s="10"/>
      <c r="C73" s="10"/>
      <c r="D73" s="10"/>
      <c r="E73" s="10"/>
      <c r="F73" s="10"/>
      <c r="G73" s="10"/>
      <c r="I73" s="10" t="b">
        <v>0</v>
      </c>
      <c r="J73" s="10" t="b">
        <v>0</v>
      </c>
    </row>
    <row r="74" hidden="1" outlineLevel="1">
      <c r="B74" s="10"/>
      <c r="C74" s="10"/>
      <c r="D74" s="10"/>
      <c r="E74" s="10"/>
      <c r="F74" s="10"/>
      <c r="G74" s="10"/>
      <c r="I74" s="10" t="b">
        <v>0</v>
      </c>
      <c r="J74" s="10" t="b">
        <v>0</v>
      </c>
    </row>
    <row r="75" hidden="1" outlineLevel="1">
      <c r="B75" s="10"/>
      <c r="C75" s="10"/>
      <c r="D75" s="10"/>
      <c r="E75" s="10"/>
      <c r="F75" s="10"/>
      <c r="G75" s="10"/>
      <c r="I75" s="10" t="b">
        <v>0</v>
      </c>
      <c r="J75" s="10" t="b">
        <v>0</v>
      </c>
    </row>
    <row r="76" hidden="1" outlineLevel="1">
      <c r="B76" s="10"/>
      <c r="C76" s="10"/>
      <c r="D76" s="10"/>
      <c r="E76" s="10"/>
      <c r="F76" s="10"/>
      <c r="G76" s="10"/>
      <c r="I76" s="10" t="b">
        <v>0</v>
      </c>
      <c r="J76" s="10" t="b">
        <v>0</v>
      </c>
    </row>
    <row r="77" hidden="1" outlineLevel="1">
      <c r="B77" s="10"/>
      <c r="C77" s="10"/>
      <c r="D77" s="10"/>
      <c r="E77" s="10"/>
      <c r="F77" s="10"/>
      <c r="G77" s="10"/>
      <c r="I77" s="10" t="b">
        <v>0</v>
      </c>
      <c r="J77" s="10" t="b">
        <v>0</v>
      </c>
    </row>
    <row r="78" hidden="1" outlineLevel="1">
      <c r="B78" s="10"/>
      <c r="C78" s="10"/>
      <c r="D78" s="10"/>
      <c r="E78" s="10"/>
      <c r="F78" s="10"/>
      <c r="G78" s="10"/>
      <c r="I78" s="10" t="b">
        <v>0</v>
      </c>
      <c r="J78" s="10" t="b">
        <v>0</v>
      </c>
    </row>
    <row r="79" hidden="1" outlineLevel="1">
      <c r="B79" s="10"/>
      <c r="C79" s="10"/>
      <c r="D79" s="10"/>
      <c r="E79" s="10"/>
      <c r="F79" s="10"/>
      <c r="G79" s="10"/>
      <c r="I79" s="10" t="b">
        <v>0</v>
      </c>
      <c r="J79" s="10" t="b">
        <v>0</v>
      </c>
    </row>
    <row r="80" hidden="1" outlineLevel="1">
      <c r="B80" s="10"/>
      <c r="C80" s="10"/>
      <c r="D80" s="10"/>
      <c r="E80" s="10"/>
      <c r="F80" s="10"/>
      <c r="G80" s="10"/>
      <c r="I80" s="10" t="b">
        <v>0</v>
      </c>
      <c r="J80" s="10" t="b">
        <v>0</v>
      </c>
    </row>
    <row r="81" hidden="1" outlineLevel="1">
      <c r="B81" s="10"/>
      <c r="C81" s="10"/>
      <c r="D81" s="10"/>
      <c r="E81" s="10"/>
      <c r="F81" s="10"/>
      <c r="G81" s="10"/>
      <c r="I81" s="10" t="b">
        <v>0</v>
      </c>
      <c r="J81" s="10" t="b">
        <v>0</v>
      </c>
    </row>
    <row r="82" hidden="1" outlineLevel="1">
      <c r="B82" s="10"/>
      <c r="C82" s="10"/>
      <c r="D82" s="10"/>
      <c r="E82" s="10"/>
      <c r="F82" s="10"/>
      <c r="G82" s="10"/>
      <c r="I82" s="10" t="b">
        <v>0</v>
      </c>
      <c r="J82" s="10" t="b">
        <v>0</v>
      </c>
    </row>
    <row r="83" hidden="1" outlineLevel="1">
      <c r="B83" s="10"/>
      <c r="C83" s="10"/>
      <c r="D83" s="10"/>
      <c r="E83" s="10"/>
      <c r="F83" s="10"/>
      <c r="G83" s="10"/>
      <c r="I83" s="10" t="b">
        <v>0</v>
      </c>
      <c r="J83" s="10" t="b">
        <v>0</v>
      </c>
    </row>
    <row r="84" hidden="1" outlineLevel="1">
      <c r="B84" s="10"/>
      <c r="C84" s="10"/>
      <c r="D84" s="10"/>
      <c r="E84" s="10"/>
      <c r="F84" s="10"/>
      <c r="G84" s="10"/>
      <c r="I84" s="10" t="b">
        <v>0</v>
      </c>
      <c r="J84" s="10" t="b">
        <v>0</v>
      </c>
    </row>
    <row r="85" hidden="1" outlineLevel="1">
      <c r="B85" s="10"/>
      <c r="C85" s="10"/>
      <c r="D85" s="10"/>
      <c r="E85" s="10"/>
      <c r="F85" s="10"/>
      <c r="G85" s="10"/>
      <c r="I85" s="10" t="b">
        <v>0</v>
      </c>
      <c r="J85" s="10" t="b">
        <v>0</v>
      </c>
    </row>
    <row r="86" hidden="1" outlineLevel="1">
      <c r="B86" s="10"/>
      <c r="C86" s="10"/>
      <c r="D86" s="10"/>
      <c r="E86" s="10"/>
      <c r="F86" s="10"/>
      <c r="G86" s="10"/>
      <c r="I86" s="10" t="b">
        <v>0</v>
      </c>
      <c r="J86" s="10" t="b">
        <v>0</v>
      </c>
    </row>
    <row r="87" hidden="1" outlineLevel="1">
      <c r="B87" s="10"/>
      <c r="C87" s="10"/>
      <c r="D87" s="10"/>
      <c r="E87" s="10"/>
      <c r="F87" s="10"/>
      <c r="G87" s="10"/>
      <c r="I87" s="10" t="b">
        <v>0</v>
      </c>
      <c r="J87" s="10" t="b">
        <v>0</v>
      </c>
    </row>
    <row r="88" hidden="1" outlineLevel="1">
      <c r="B88" s="10"/>
      <c r="C88" s="10"/>
      <c r="D88" s="10"/>
      <c r="E88" s="10"/>
      <c r="F88" s="10"/>
      <c r="G88" s="10"/>
      <c r="I88" s="10" t="b">
        <v>0</v>
      </c>
      <c r="J88" s="10" t="b">
        <v>0</v>
      </c>
    </row>
    <row r="89" hidden="1" outlineLevel="1">
      <c r="B89" s="10"/>
      <c r="C89" s="10"/>
      <c r="D89" s="10"/>
      <c r="E89" s="10"/>
      <c r="F89" s="10"/>
      <c r="G89" s="10"/>
      <c r="I89" s="10" t="b">
        <v>0</v>
      </c>
      <c r="J89" s="10" t="b">
        <v>0</v>
      </c>
    </row>
    <row r="90" hidden="1" outlineLevel="1">
      <c r="B90" s="10"/>
      <c r="C90" s="10"/>
      <c r="D90" s="10"/>
      <c r="E90" s="10"/>
      <c r="F90" s="10"/>
      <c r="G90" s="10"/>
      <c r="I90" s="10" t="b">
        <v>0</v>
      </c>
      <c r="J90" s="10" t="b">
        <v>0</v>
      </c>
    </row>
    <row r="91" hidden="1" outlineLevel="1">
      <c r="B91" s="10"/>
      <c r="C91" s="10"/>
      <c r="D91" s="10"/>
      <c r="E91" s="10"/>
      <c r="F91" s="10"/>
      <c r="G91" s="10"/>
      <c r="I91" s="10" t="b">
        <v>0</v>
      </c>
      <c r="J91" s="10" t="b">
        <v>0</v>
      </c>
    </row>
    <row r="92" hidden="1" outlineLevel="1">
      <c r="B92" s="10"/>
      <c r="C92" s="10"/>
      <c r="D92" s="10"/>
      <c r="E92" s="10"/>
      <c r="F92" s="10"/>
      <c r="G92" s="10"/>
      <c r="I92" s="10" t="b">
        <v>0</v>
      </c>
      <c r="J92" s="10" t="b">
        <v>0</v>
      </c>
    </row>
    <row r="93" hidden="1" outlineLevel="1">
      <c r="B93" s="10"/>
      <c r="C93" s="10"/>
      <c r="D93" s="10"/>
      <c r="E93" s="10"/>
      <c r="F93" s="10"/>
      <c r="G93" s="10"/>
      <c r="I93" s="10" t="b">
        <v>0</v>
      </c>
      <c r="J93" s="10" t="b">
        <v>0</v>
      </c>
    </row>
    <row r="94" hidden="1" outlineLevel="1">
      <c r="B94" s="10"/>
      <c r="C94" s="10"/>
      <c r="D94" s="10"/>
      <c r="E94" s="13"/>
      <c r="F94" s="10"/>
      <c r="G94" s="10"/>
      <c r="I94" s="10" t="b">
        <v>0</v>
      </c>
      <c r="J94" s="10" t="b">
        <v>0</v>
      </c>
    </row>
    <row r="95" hidden="1" outlineLevel="1">
      <c r="B95" s="10"/>
      <c r="C95" s="10"/>
      <c r="D95" s="10"/>
      <c r="E95" s="10"/>
      <c r="F95" s="10"/>
      <c r="G95" s="10"/>
      <c r="I95" s="10" t="b">
        <v>0</v>
      </c>
      <c r="J95" s="10" t="b">
        <v>0</v>
      </c>
    </row>
    <row r="96" hidden="1" outlineLevel="1">
      <c r="B96" s="10"/>
      <c r="C96" s="10"/>
      <c r="D96" s="10"/>
      <c r="E96" s="10"/>
      <c r="F96" s="10"/>
      <c r="G96" s="10"/>
      <c r="I96" s="10" t="b">
        <v>0</v>
      </c>
      <c r="J96" s="10" t="b">
        <v>0</v>
      </c>
    </row>
    <row r="97" hidden="1" outlineLevel="1">
      <c r="B97" s="10"/>
      <c r="C97" s="10"/>
      <c r="D97" s="10"/>
      <c r="E97" s="10"/>
      <c r="F97" s="10"/>
      <c r="G97" s="10"/>
      <c r="I97" s="10" t="b">
        <v>0</v>
      </c>
      <c r="J97" s="10" t="b">
        <v>0</v>
      </c>
    </row>
    <row r="98" hidden="1" outlineLevel="1">
      <c r="B98" s="10"/>
      <c r="C98" s="10"/>
      <c r="D98" s="10"/>
      <c r="E98" s="10"/>
      <c r="F98" s="10"/>
      <c r="G98" s="10"/>
      <c r="I98" s="10" t="b">
        <v>0</v>
      </c>
      <c r="J98" s="10" t="b">
        <v>0</v>
      </c>
    </row>
    <row r="99" hidden="1" outlineLevel="1">
      <c r="B99" s="10"/>
      <c r="C99" s="10"/>
      <c r="D99" s="10"/>
      <c r="E99" s="10"/>
      <c r="F99" s="10"/>
      <c r="G99" s="10"/>
      <c r="I99" s="10" t="b">
        <v>0</v>
      </c>
      <c r="J99" s="10" t="b">
        <v>0</v>
      </c>
    </row>
    <row r="100">
      <c r="A100" s="53" t="s">
        <v>83</v>
      </c>
      <c r="B100" s="37"/>
      <c r="C100" s="37"/>
      <c r="D100" s="37"/>
      <c r="E100" s="37"/>
      <c r="F100" s="37"/>
      <c r="G100" s="37"/>
      <c r="H100" s="37"/>
      <c r="K100" s="54" t="s">
        <v>84</v>
      </c>
    </row>
    <row r="101">
      <c r="K101" s="52" t="s">
        <v>85</v>
      </c>
    </row>
    <row r="103">
      <c r="K103" s="13" t="s">
        <v>86</v>
      </c>
    </row>
    <row r="104">
      <c r="K104" s="13" t="s">
        <v>87</v>
      </c>
    </row>
    <row r="105">
      <c r="K105" s="13" t="s">
        <v>88</v>
      </c>
    </row>
    <row r="109">
      <c r="K109" s="55"/>
      <c r="L109" s="55"/>
      <c r="M109" s="55"/>
      <c r="N109" s="55"/>
      <c r="O109" s="55"/>
    </row>
    <row r="110">
      <c r="K110" s="56"/>
      <c r="L110" s="56"/>
      <c r="M110" s="56"/>
      <c r="N110" s="56"/>
      <c r="O110" s="56"/>
    </row>
    <row r="111">
      <c r="K111" s="57"/>
      <c r="L111" s="57"/>
      <c r="M111" s="57"/>
      <c r="N111" s="57"/>
      <c r="O111" s="57"/>
    </row>
    <row r="112">
      <c r="K112" s="57"/>
      <c r="L112" s="57"/>
      <c r="M112" s="57"/>
      <c r="N112" s="57"/>
      <c r="O112" s="57"/>
    </row>
    <row r="113">
      <c r="K113" s="58"/>
      <c r="L113" s="58"/>
      <c r="M113" s="58"/>
      <c r="N113" s="58"/>
      <c r="O113" s="58"/>
    </row>
    <row r="114">
      <c r="K114" s="56"/>
      <c r="L114" s="56"/>
      <c r="M114" s="56"/>
      <c r="N114" s="56"/>
      <c r="O114" s="56"/>
    </row>
    <row r="115">
      <c r="K115" s="59"/>
      <c r="L115" s="59"/>
      <c r="M115" s="59"/>
      <c r="N115" s="59"/>
      <c r="O115" s="59"/>
    </row>
    <row r="116">
      <c r="K116" s="43"/>
      <c r="L116" s="43"/>
      <c r="M116" s="43"/>
      <c r="N116" s="43"/>
      <c r="O116" s="43"/>
    </row>
    <row r="118">
      <c r="O118" s="60"/>
    </row>
    <row r="130">
      <c r="K130" s="13" t="s">
        <v>84</v>
      </c>
      <c r="O130" s="13"/>
    </row>
    <row r="140">
      <c r="K140" s="13" t="s">
        <v>89</v>
      </c>
    </row>
  </sheetData>
  <mergeCells count="12">
    <mergeCell ref="K40:O41"/>
    <mergeCell ref="K50:O50"/>
    <mergeCell ref="K60:O60"/>
    <mergeCell ref="K100:O100"/>
    <mergeCell ref="K101:O101"/>
    <mergeCell ref="K29:O29"/>
    <mergeCell ref="K30:O30"/>
    <mergeCell ref="K31:O32"/>
    <mergeCell ref="K33:O33"/>
    <mergeCell ref="K34:O34"/>
    <mergeCell ref="K35:O35"/>
    <mergeCell ref="K36:O36"/>
  </mergeCells>
  <conditionalFormatting sqref="A1:J50 K1:M6 N1:N50 O1:Q22 S1:U1 K8:M50 S9:U9 S20:U20 P25:Q33 O26:O33 P36:Q37 O37 O40:O50 P42:Q50 K60:N60 K100:N101 K109:N130 O109:O113 O117 O122:O130 K140">
    <cfRule type="cellIs" dxfId="0" priority="1" operator="equal">
      <formula>"Death Knight"</formula>
    </cfRule>
  </conditionalFormatting>
  <conditionalFormatting sqref="A1:J50 K1:M6 N1:N50 O1:Q22 S1:U1 K8:M50 S9:U9 S20:U20 P25:Q33 O26:O33 P36:Q37 O37 O40:O50 P42:Q50 K60:N60 K100:N101 K109:N130 O109:O113 O117 O122:O130 K140">
    <cfRule type="cellIs" dxfId="1" priority="2" operator="equal">
      <formula>"Demon Hunter"</formula>
    </cfRule>
  </conditionalFormatting>
  <conditionalFormatting sqref="A1:J50 K1:M6 N1:N50 O1:Q22 S1:U1 K8:M50 S9:U9 S20:U20 P25:Q33 O26:O33 P36:Q37 O37 O40:O50 P42:Q50 K60:N60 K100:N101 K109:N130 O109:O113 O117 O122:O130 K140">
    <cfRule type="cellIs" dxfId="2" priority="3" operator="equal">
      <formula>"Warrior"</formula>
    </cfRule>
  </conditionalFormatting>
  <conditionalFormatting sqref="A1:J50 K1:M6 N1:N50 O1:Q22 S1:U1 K8:M50 S9:U9 S20:U20 P25:Q33 O26:O33 P36:Q37 O37 O40:O50 P42:Q50 K60:N60 K100:N101 K109:N130 O109:O113 O117 O122:O130 K140">
    <cfRule type="cellIs" dxfId="3" priority="4" operator="equal">
      <formula>"Druid"</formula>
    </cfRule>
  </conditionalFormatting>
  <conditionalFormatting sqref="A1:J50 K1:M6 N1:N50 O1:Q22 S1:U1 K8:M50 S9:U9 S20:U20 P25:Q33 O26:O33 P36:Q37 O37 O40:O50 P42:Q50 K60:N60 K100:N101 K109:N130 O109:O113 O117 O122:O130 K140">
    <cfRule type="cellIs" dxfId="4" priority="5" operator="equal">
      <formula>"Hunter"</formula>
    </cfRule>
  </conditionalFormatting>
  <conditionalFormatting sqref="A1:J50 K1:M6 N1:N50 O1:Q22 S1:U1 K8:M50 S9:U9 S20:U20 P25:Q33 O26:O33 P36:Q37 O37 O40:O50 P42:Q50 K60:N60 K100:N101 K109:N130 O109:O113 O117 O122:O130 K140">
    <cfRule type="cellIs" dxfId="5" priority="6" operator="equal">
      <formula>"Mage"</formula>
    </cfRule>
  </conditionalFormatting>
  <conditionalFormatting sqref="A1:J50 K1:M6 N1:N50 O1:Q22 S1:U1 K8:M50 S9:U9 S20:U20 P25:Q33 O26:O33 P36:Q37 O37 O40:O50 P42:Q50 K60:N60 K100:N101 K109:N130 O109:O113 O117 O122:O130 K140">
    <cfRule type="cellIs" dxfId="6" priority="7" operator="equal">
      <formula>"Monk"</formula>
    </cfRule>
  </conditionalFormatting>
  <conditionalFormatting sqref="A1:J50 K1:M6 N1:N50 O1:Q22 S1:U1 K8:M50 S9:U9 S20:U20 P25:Q33 O26:O33 P36:Q37 O37 O40:O50 P42:Q50 K60:N60 K100:N101 K109:N130 O109:O113 O117 O122:O130 K140">
    <cfRule type="cellIs" dxfId="7" priority="8" operator="equal">
      <formula>"Paladin"</formula>
    </cfRule>
  </conditionalFormatting>
  <conditionalFormatting sqref="A1:J50 K1:M6 N1:N50 O1:Q22 S1:U1 K8:M50 S9:U9 S20:U20 P25:Q33 O26:O33 P36:Q37 O37 O40:O50 P42:Q50 K60:N60 K100:N101 K109:N130 O109:O113 O117 O122:O130 K140">
    <cfRule type="cellIs" dxfId="8" priority="9" operator="equal">
      <formula>"Rogue"</formula>
    </cfRule>
  </conditionalFormatting>
  <conditionalFormatting sqref="A1:J50 K1:M6 N1:N50 O1:Q22 S1:U1 K8:M50 S9:U9 S20:U20 P25:Q33 O26:O33 P36:Q37 O37 O40:O50 P42:Q50 K60:N60 K100:N101 K109:N130 O109:O113 O117 O122:O130 K140">
    <cfRule type="cellIs" dxfId="9" priority="10" operator="equal">
      <formula>"Shaman"</formula>
    </cfRule>
  </conditionalFormatting>
  <conditionalFormatting sqref="A1:J50 K1:M6 N1:N50 O1:Q22 S1:U1 K8:M50 S9:U9 S20:U20 P25:Q33 O26:O33 P36:Q37 O37 O40:O50 P42:Q50 K60:N60 K100:N101 K109:N130 O109:O113 O117 O122:O130 K140">
    <cfRule type="cellIs" dxfId="10" priority="11" operator="equal">
      <formula>"Warlock"</formula>
    </cfRule>
  </conditionalFormatting>
  <conditionalFormatting sqref="A1:J50 K1:M6 N1:N50 O1:Q22 S1:U1 K8:M50 S9:U9 S20:U20 P25:Q33 O26:O33 P36:Q37 O37 O40:O50 P42:Q50 K60:N60 K100:N101 K109:N130 O109:O113 O117 O122:O130 K140">
    <cfRule type="cellIs" dxfId="11" priority="12" operator="equal">
      <formula>"Priest"</formula>
    </cfRule>
  </conditionalFormatting>
  <conditionalFormatting sqref="A102">
    <cfRule type="notContainsBlanks" dxfId="12" priority="13">
      <formula>LEN(TRIM(A102))&gt;0</formula>
    </cfRule>
  </conditionalFormatting>
  <conditionalFormatting sqref="P2:P28 T9 T20">
    <cfRule type="cellIs" dxfId="13" priority="14" operator="equal">
      <formula>0</formula>
    </cfRule>
  </conditionalFormatting>
  <conditionalFormatting sqref="A1:J50 K1:M6 N1:N50 O1:Q22 S1:U1 K8:M50 S9:U9 S20:U20 P25:Q33 O26:O33 P36:Q37 O37 O40:O50 P42:Q50 K60:N60 K100:N101 K109:N130 O109:O113 O117 O122:O130 K140">
    <cfRule type="cellIs" dxfId="14" priority="15" operator="equal">
      <formula>"Evoker"</formula>
    </cfRule>
  </conditionalFormatting>
  <conditionalFormatting sqref="A2:G99">
    <cfRule type="expression" dxfId="15" priority="16">
      <formula>$I2=TRUE()</formula>
    </cfRule>
  </conditionalFormatting>
  <dataValidations>
    <dataValidation type="list" allowBlank="1" showErrorMessage="1" sqref="C58:D58">
      <formula1>data!$N$58:$Q$58</formula1>
    </dataValidation>
    <dataValidation type="list" allowBlank="1" showErrorMessage="1" sqref="F6:G6">
      <formula1>alt!$N$6:$Q$6</formula1>
    </dataValidation>
    <dataValidation type="list" allowBlank="1" showErrorMessage="1" sqref="C16:D16">
      <formula1>data!$N$16:$Q$16</formula1>
    </dataValidation>
    <dataValidation type="list" allowBlank="1" showErrorMessage="1" sqref="C60:D60">
      <formula1>data!$N$60:$Q$60</formula1>
    </dataValidation>
    <dataValidation type="list" allowBlank="1" showErrorMessage="1" sqref="F76:G76">
      <formula1>alt!$N$76:$Q$76</formula1>
    </dataValidation>
    <dataValidation type="list" allowBlank="1" showErrorMessage="1" sqref="F34:G34">
      <formula1>alt!$N$34:$Q$34</formula1>
    </dataValidation>
    <dataValidation type="list" allowBlank="1" showErrorMessage="1" sqref="F91:G91">
      <formula1>alt!$N$91:$Q$91</formula1>
    </dataValidation>
    <dataValidation type="list" allowBlank="1" showErrorMessage="1" sqref="C29:D29">
      <formula1>data!$N$29:$Q$29</formula1>
    </dataValidation>
    <dataValidation type="list" allowBlank="1" showErrorMessage="1" sqref="C73:D73">
      <formula1>data!$N$73:$Q$73</formula1>
    </dataValidation>
    <dataValidation type="list" allowBlank="1" showErrorMessage="1" sqref="C31:D31">
      <formula1>data!$N$31:$Q$31</formula1>
    </dataValidation>
    <dataValidation type="list" allowBlank="1" showErrorMessage="1" sqref="F89:G89">
      <formula1>alt!$N$89:$Q$89</formula1>
    </dataValidation>
    <dataValidation type="list" allowBlank="1" showErrorMessage="1" sqref="F47:G47">
      <formula1>alt!$N$47:$Q$47</formula1>
    </dataValidation>
    <dataValidation type="list" allowBlank="1" showErrorMessage="1" sqref="C74:D74">
      <formula1>data!$N$74:$Q$74</formula1>
    </dataValidation>
    <dataValidation type="list" allowBlank="1" showErrorMessage="1" sqref="C32:D32">
      <formula1>data!$N$32:$Q$32</formula1>
    </dataValidation>
    <dataValidation type="list" allowBlank="1" showErrorMessage="1" sqref="C44:D44">
      <formula1>data!$N$44:$Q$44</formula1>
    </dataValidation>
    <dataValidation type="list" allowBlank="1" showErrorMessage="1" sqref="C86:D86">
      <formula1>data!$N$86:$Q$86</formula1>
    </dataValidation>
    <dataValidation type="list" allowBlank="1" showErrorMessage="1" sqref="F48:G48">
      <formula1>alt!$N$48:$Q$48</formula1>
    </dataValidation>
    <dataValidation type="list" allowBlank="1" showErrorMessage="1" sqref="C4:D4">
      <formula1>data!$N$4:$Q$4</formula1>
    </dataValidation>
    <dataValidation type="list" allowBlank="1" showErrorMessage="1" sqref="F18:G18">
      <formula1>alt!$N$18:$Q$18</formula1>
    </dataValidation>
    <dataValidation type="list" allowBlank="1" showErrorMessage="1" sqref="C87:D87">
      <formula1>data!$N$87:$Q$87</formula1>
    </dataValidation>
    <dataValidation type="list" allowBlank="1" showErrorMessage="1" sqref="C45:D45">
      <formula1>data!$N$45:$Q$45</formula1>
    </dataValidation>
    <dataValidation type="list" allowBlank="1" showErrorMessage="1" sqref="C57:D57">
      <formula1>data!$N$57:$Q$57</formula1>
    </dataValidation>
    <dataValidation type="list" allowBlank="1" showErrorMessage="1" sqref="C99:D99">
      <formula1>data!$N$99:$Q$99</formula1>
    </dataValidation>
    <dataValidation type="list" allowBlank="1" showErrorMessage="1" sqref="C15:D15">
      <formula1>data!$N$15:$Q$15</formula1>
    </dataValidation>
    <dataValidation type="list" allowBlank="1" showErrorMessage="1" sqref="F19:G19">
      <formula1>alt!$N$19:$Q$19</formula1>
    </dataValidation>
    <dataValidation type="list" allowBlank="1" showErrorMessage="1" sqref="C90:D90">
      <formula1>data!$N$90:$Q$90</formula1>
    </dataValidation>
    <dataValidation type="list" allowBlank="1" showErrorMessage="1" sqref="F46:G46">
      <formula1>alt!$N$46:$Q$46</formula1>
    </dataValidation>
    <dataValidation type="list" allowBlank="1" showErrorMessage="1" sqref="C30:D30">
      <formula1>data!$N$30:$Q$30</formula1>
    </dataValidation>
    <dataValidation type="list" allowBlank="1" showErrorMessage="1" sqref="F22:G22">
      <formula1>alt!$N$22:$Q$22</formula1>
    </dataValidation>
    <dataValidation type="list" allowBlank="1" showErrorMessage="1" sqref="C75:D75">
      <formula1>data!$N$75:$Q$75</formula1>
    </dataValidation>
    <dataValidation type="list" allowBlank="1" showErrorMessage="1" sqref="F17:G17">
      <formula1>alt!$N$17:$Q$17</formula1>
    </dataValidation>
    <dataValidation type="list" allowBlank="1" showErrorMessage="1" sqref="C61:D61">
      <formula1>data!$N$61:$Q$61</formula1>
    </dataValidation>
    <dataValidation type="list" allowBlank="1" showErrorMessage="1" sqref="C85:D85">
      <formula1>data!$N$85:$Q$85</formula1>
    </dataValidation>
    <dataValidation type="list" allowBlank="1" showErrorMessage="1" sqref="F8:G8">
      <formula1>alt!$N$8:$Q$8</formula1>
    </dataValidation>
    <dataValidation type="list" allowBlank="1" showErrorMessage="1" sqref="F77:G77">
      <formula1>alt!$N$77:$Q$77</formula1>
    </dataValidation>
    <dataValidation type="list" allowBlank="1" showErrorMessage="1" sqref="C46:D46">
      <formula1>data!$N$46:$Q$46</formula1>
    </dataValidation>
    <dataValidation type="list" allowBlank="1" showErrorMessage="1" sqref="F20:G20">
      <formula1>alt!$N$20:$Q$20</formula1>
    </dataValidation>
    <dataValidation type="list" allowBlank="1" showErrorMessage="1" sqref="F74:G74">
      <formula1>alt!$N$74:$Q$74</formula1>
    </dataValidation>
    <dataValidation type="list" allowBlank="1" showErrorMessage="1" sqref="C47:D47">
      <formula1>data!$N$47:$Q$47</formula1>
    </dataValidation>
    <dataValidation type="list" allowBlank="1" showErrorMessage="1" sqref="F80:G80">
      <formula1>alt!$N$80:$Q$80</formula1>
    </dataValidation>
    <dataValidation type="list" allowBlank="1" showErrorMessage="1" sqref="C17:D17">
      <formula1>data!$N$17:$Q$17</formula1>
    </dataValidation>
    <dataValidation type="list" allowBlank="1" showErrorMessage="1" sqref="F50:G50">
      <formula1>alt!$N$50:$Q$50</formula1>
    </dataValidation>
    <dataValidation type="list" allowBlank="1" showErrorMessage="1" sqref="F75:G75">
      <formula1>alt!$N$75:$Q$75</formula1>
    </dataValidation>
    <dataValidation type="list" allowBlank="1" showErrorMessage="1" sqref="F45:G45">
      <formula1>alt!$N$45:$Q$45</formula1>
    </dataValidation>
    <dataValidation type="list" allowBlank="1" showErrorMessage="1" sqref="F51:G51">
      <formula1>alt!$N$51:$Q$51</formula1>
    </dataValidation>
    <dataValidation type="list" allowBlank="1" showErrorMessage="1" sqref="C18:D18">
      <formula1>data!$N$18:$Q$18</formula1>
    </dataValidation>
    <dataValidation type="list" allowBlank="1" showErrorMessage="1" sqref="F21:G21">
      <formula1>alt!$N$21:$Q$21</formula1>
    </dataValidation>
    <dataValidation type="list" allowBlank="1" showErrorMessage="1" sqref="F79:G79">
      <formula1>alt!$N$79:$Q$79</formula1>
    </dataValidation>
    <dataValidation type="list" allowBlank="1" showErrorMessage="1" sqref="F16:G16">
      <formula1>alt!$N$16:$Q$16</formula1>
    </dataValidation>
    <dataValidation type="list" allowBlank="1" showErrorMessage="1" sqref="F37:G37">
      <formula1>alt!$N$37:$Q$37</formula1>
    </dataValidation>
    <dataValidation type="list" allowBlank="1" showErrorMessage="1" sqref="C7:D7">
      <formula1>data!$N$7:$Q$7</formula1>
    </dataValidation>
    <dataValidation type="list" allowBlank="1" showErrorMessage="1" sqref="F81:G81">
      <formula1>alt!$N$81:$Q$81</formula1>
    </dataValidation>
    <dataValidation type="list" allowBlank="1" showErrorMessage="1" sqref="F31:G31">
      <formula1>alt!$N$31:$Q$31</formula1>
    </dataValidation>
    <dataValidation type="list" allowBlank="1" showErrorMessage="1" sqref="C63:D63">
      <formula1>data!$N$63:$Q$63</formula1>
    </dataValidation>
    <dataValidation type="list" allowBlank="1" showErrorMessage="1" sqref="C21:D21">
      <formula1>data!$N$21:$Q$21</formula1>
    </dataValidation>
    <dataValidation type="list" allowBlank="1" showErrorMessage="1" sqref="F29:G29">
      <formula1>alt!$N$29:$Q$29</formula1>
    </dataValidation>
    <dataValidation type="list" allowBlank="1" showErrorMessage="1" sqref="F94:G94">
      <formula1>alt!$N$94:$Q$94</formula1>
    </dataValidation>
    <dataValidation type="list" allowBlank="1" showErrorMessage="1" sqref="F23:G23">
      <formula1>alt!$N$23:$Q$23</formula1>
    </dataValidation>
    <dataValidation type="list" allowBlank="1" showErrorMessage="1" sqref="C55:D55">
      <formula1>data!$N$55:$Q$55</formula1>
    </dataValidation>
    <dataValidation type="list" allowBlank="1" showErrorMessage="1" sqref="C76:D76">
      <formula1>data!$N$76:$Q$76</formula1>
    </dataValidation>
    <dataValidation type="list" allowBlank="1" showErrorMessage="1" sqref="C13:D13">
      <formula1>data!$N$13:$Q$13</formula1>
    </dataValidation>
    <dataValidation type="list" allowBlank="1" showErrorMessage="1" sqref="F3:G3">
      <formula1>alt!$N$3:$Q$3</formula1>
    </dataValidation>
    <dataValidation type="list" allowBlank="1" showErrorMessage="1" sqref="C20:D20">
      <formula1>data!$N$20:$Q$20</formula1>
    </dataValidation>
    <dataValidation type="list" allowBlank="1" showErrorMessage="1" sqref="F95:G95">
      <formula1>alt!$N$95:$Q$95</formula1>
    </dataValidation>
    <dataValidation type="list" allowBlank="1" showErrorMessage="1" sqref="C14:D14">
      <formula1>data!$N$14:$Q$14</formula1>
    </dataValidation>
    <dataValidation type="list" allowBlank="1" showErrorMessage="1" sqref="C56:D56">
      <formula1>data!$N$56:$Q$56</formula1>
    </dataValidation>
    <dataValidation type="list" allowBlank="1" showErrorMessage="1" sqref="C68:D68">
      <formula1>data!$N$68:$Q$68</formula1>
    </dataValidation>
    <dataValidation type="list" allowBlank="1" showErrorMessage="1" sqref="F24:G24">
      <formula1>alt!$N$24:$Q$24</formula1>
    </dataValidation>
    <dataValidation type="list" allowBlank="1" showErrorMessage="1" sqref="C69:D69">
      <formula1>data!$N$69:$Q$69</formula1>
    </dataValidation>
    <dataValidation type="list" allowBlank="1" showErrorMessage="1" sqref="F78:G78">
      <formula1>alt!$N$78:$Q$78</formula1>
    </dataValidation>
    <dataValidation type="list" allowBlank="1" showErrorMessage="1" sqref="F36:G36">
      <formula1>alt!$N$36:$Q$36</formula1>
    </dataValidation>
    <dataValidation type="list" allowBlank="1" showErrorMessage="1" sqref="F30:G30">
      <formula1>alt!$N$30:$Q$30</formula1>
    </dataValidation>
    <dataValidation type="list" allowBlank="1" showErrorMessage="1" sqref="C62:D62">
      <formula1>data!$N$62:$Q$62</formula1>
    </dataValidation>
    <dataValidation type="list" allowBlank="1" showErrorMessage="1" sqref="F88:G88">
      <formula1>alt!$N$88:$Q$88</formula1>
    </dataValidation>
    <dataValidation type="list" allowBlank="1" showErrorMessage="1" sqref="F25:G25">
      <formula1>alt!$N$25:$Q$25</formula1>
    </dataValidation>
    <dataValidation type="list" allowBlank="1" showErrorMessage="1" sqref="F90:G90">
      <formula1>alt!$N$90:$Q$90</formula1>
    </dataValidation>
    <dataValidation type="list" allowBlank="1" showErrorMessage="1" sqref="F28:G28">
      <formula1>alt!$N$28:$Q$28</formula1>
    </dataValidation>
    <dataValidation type="list" allowBlank="1" showErrorMessage="1" sqref="C9:D9">
      <formula1>data!$N$9:$Q$9</formula1>
    </dataValidation>
    <dataValidation type="list" allowBlank="1" showErrorMessage="1" sqref="C72:D72">
      <formula1>data!$N$72:$Q$72</formula1>
    </dataValidation>
    <dataValidation type="list" allowBlank="1" showErrorMessage="1" sqref="F85:G85">
      <formula1>alt!$N$85:$Q$85</formula1>
    </dataValidation>
    <dataValidation type="list" allowBlank="1" showErrorMessage="1" sqref="C12:D12">
      <formula1>data!$N$12:$Q$12</formula1>
    </dataValidation>
    <dataValidation type="list" allowBlank="1" showErrorMessage="1" sqref="F40:G40">
      <formula1>alt!$N$40:$Q$40</formula1>
    </dataValidation>
    <dataValidation type="list" allowBlank="1" showErrorMessage="1" sqref="C64:D64">
      <formula1>data!$N$64:$Q$64</formula1>
    </dataValidation>
    <dataValidation type="list" allowBlank="1" showErrorMessage="1" sqref="F35:G35">
      <formula1>alt!$N$35:$Q$35</formula1>
    </dataValidation>
    <dataValidation type="list" allowBlank="1" showErrorMessage="1" sqref="C67:D67">
      <formula1>data!$N$67:$Q$67</formula1>
    </dataValidation>
    <dataValidation type="list" allowBlank="1" showErrorMessage="1" sqref="F5:G5">
      <formula1>alt!$N$5:$Q$5</formula1>
    </dataValidation>
    <dataValidation type="list" allowBlank="1" showErrorMessage="1" sqref="C11:D11">
      <formula1>data!$N$11:$Q$11</formula1>
    </dataValidation>
    <dataValidation type="list" allowBlank="1" showErrorMessage="1" sqref="F32:G32">
      <formula1>alt!$N$32:$Q$32</formula1>
    </dataValidation>
    <dataValidation type="list" allowBlank="1" showErrorMessage="1" sqref="C65:D65">
      <formula1>data!$N$65:$Q$65</formula1>
    </dataValidation>
    <dataValidation type="list" allowBlank="1" showErrorMessage="1" sqref="F86:G86">
      <formula1>alt!$N$86:$Q$86</formula1>
    </dataValidation>
    <dataValidation type="list" allowBlank="1" showErrorMessage="1" sqref="F27:G27">
      <formula1>alt!$N$27:$Q$27</formula1>
    </dataValidation>
    <dataValidation type="list" allowBlank="1" showErrorMessage="1" sqref="F92:G92">
      <formula1>alt!$N$92:$Q$92</formula1>
    </dataValidation>
    <dataValidation type="list" allowBlank="1" showErrorMessage="1" sqref="C70:D70">
      <formula1>data!$N$70:$Q$70</formula1>
    </dataValidation>
    <dataValidation type="list" allowBlank="1" showErrorMessage="1" sqref="C59:D59">
      <formula1>data!$N$59:$Q$59</formula1>
    </dataValidation>
    <dataValidation type="list" allowBlank="1" showErrorMessage="1" sqref="C66:D66">
      <formula1>data!$N$66:$Q$66</formula1>
    </dataValidation>
    <dataValidation type="list" allowBlank="1" showErrorMessage="1" sqref="F33:G33">
      <formula1>alt!$N$33:$Q$33</formula1>
    </dataValidation>
    <dataValidation type="list" allowBlank="1" showErrorMessage="1" sqref="F87:G87">
      <formula1>alt!$N$87:$Q$87</formula1>
    </dataValidation>
    <dataValidation type="list" allowBlank="1" showErrorMessage="1" sqref="C2:D2">
      <formula1>data!$N$2:$Q$2</formula1>
    </dataValidation>
    <dataValidation type="list" allowBlank="1" showErrorMessage="1" sqref="C71:D71">
      <formula1>data!$N$71:$Q$71</formula1>
    </dataValidation>
    <dataValidation type="list" allowBlank="1" showErrorMessage="1" sqref="F93:G93">
      <formula1>alt!$N$93:$Q$93</formula1>
    </dataValidation>
    <dataValidation type="list" allowBlank="1" showErrorMessage="1" sqref="C79:D79">
      <formula1>data!$N$79:$Q$79</formula1>
    </dataValidation>
    <dataValidation type="list" allowBlank="1" showErrorMessage="1" sqref="C37:D37">
      <formula1>data!$N$37:$Q$37</formula1>
    </dataValidation>
    <dataValidation type="list" allowBlank="1" showErrorMessage="1" sqref="C81:D81">
      <formula1>data!$N$81:$Q$81</formula1>
    </dataValidation>
    <dataValidation type="list" allowBlank="1" showErrorMessage="1" sqref="B2:B99 E2:E99">
      <formula1>data!$A$2:$M$2</formula1>
    </dataValidation>
    <dataValidation type="list" allowBlank="1" showErrorMessage="1" sqref="C3:D3">
      <formula1>data!$N$3:$Q$3</formula1>
    </dataValidation>
    <dataValidation type="list" allowBlank="1" showErrorMessage="1" sqref="F97:G97">
      <formula1>alt!$N$97:$Q$97</formula1>
    </dataValidation>
    <dataValidation type="list" allowBlank="1" showErrorMessage="1" sqref="F55:G55">
      <formula1>alt!$N$55:$Q$55</formula1>
    </dataValidation>
    <dataValidation type="list" allowBlank="1" showErrorMessage="1" sqref="F13:G13">
      <formula1>alt!$N$13:$Q$13</formula1>
    </dataValidation>
    <dataValidation type="list" allowBlank="1" showErrorMessage="1" sqref="F70:G70">
      <formula1>alt!$N$70:$Q$70</formula1>
    </dataValidation>
    <dataValidation type="list" allowBlank="1" showErrorMessage="1" sqref="C52:D52">
      <formula1>data!$N$52:$Q$52</formula1>
    </dataValidation>
    <dataValidation type="list" allowBlank="1" showErrorMessage="1" sqref="C94:D94">
      <formula1>data!$N$94:$Q$94</formula1>
    </dataValidation>
    <dataValidation type="list" allowBlank="1" showErrorMessage="1" sqref="C10:D10">
      <formula1>data!$N$10:$Q$10</formula1>
    </dataValidation>
    <dataValidation type="list" allowBlank="1" showErrorMessage="1" sqref="F68:G68">
      <formula1>alt!$N$68:$Q$68</formula1>
    </dataValidation>
    <dataValidation type="list" allowBlank="1" showErrorMessage="1" sqref="F26:G26">
      <formula1>alt!$N$26:$Q$26</formula1>
    </dataValidation>
    <dataValidation type="list" allowBlank="1" showErrorMessage="1" sqref="F83:G83">
      <formula1>alt!$N$83:$Q$83</formula1>
    </dataValidation>
    <dataValidation type="list" allowBlank="1" showErrorMessage="1" sqref="F41:G41">
      <formula1>alt!$N$41:$Q$41</formula1>
    </dataValidation>
    <dataValidation type="list" allowBlank="1" showErrorMessage="1" sqref="F71:G71">
      <formula1>alt!$N$71:$Q$71</formula1>
    </dataValidation>
    <dataValidation type="list" allowBlank="1" showErrorMessage="1" sqref="C38:D38">
      <formula1>data!$N$38:$Q$38</formula1>
    </dataValidation>
    <dataValidation type="list" allowBlank="1" showErrorMessage="1" sqref="F96:G96">
      <formula1>alt!$N$96:$Q$96</formula1>
    </dataValidation>
    <dataValidation type="list" allowBlank="1" showErrorMessage="1" sqref="F12:G12">
      <formula1>alt!$N$12:$Q$12</formula1>
    </dataValidation>
    <dataValidation type="list" allowBlank="1" showErrorMessage="1" sqref="F54:G54">
      <formula1>alt!$N$54:$Q$54</formula1>
    </dataValidation>
    <dataValidation type="list" allowBlank="1" showErrorMessage="1" sqref="C80:D80">
      <formula1>data!$N$80:$Q$80</formula1>
    </dataValidation>
    <dataValidation type="list" allowBlank="1" showErrorMessage="1" sqref="F7:G7">
      <formula1>alt!$N$7:$Q$7</formula1>
    </dataValidation>
    <dataValidation type="list" allowBlank="1" showErrorMessage="1" sqref="F84:G84">
      <formula1>alt!$N$84:$Q$84</formula1>
    </dataValidation>
    <dataValidation type="list" allowBlank="1" showErrorMessage="1" sqref="F42:G42">
      <formula1>alt!$N$42:$Q$42</formula1>
    </dataValidation>
    <dataValidation type="list" allowBlank="1" showErrorMessage="1" sqref="F67:G67">
      <formula1>alt!$N$67:$Q$67</formula1>
    </dataValidation>
    <dataValidation type="list" allowBlank="1" showErrorMessage="1" sqref="C5:D5">
      <formula1>data!$N$5:$Q$5</formula1>
    </dataValidation>
    <dataValidation type="list" allowBlank="1" showErrorMessage="1" sqref="C49:D49">
      <formula1>data!$N$49:$Q$49</formula1>
    </dataValidation>
    <dataValidation type="list" allowBlank="1" showErrorMessage="1" sqref="C51:D51">
      <formula1>data!$N$51:$Q$51</formula1>
    </dataValidation>
    <dataValidation type="list" allowBlank="1" showErrorMessage="1" sqref="F43:G43">
      <formula1>alt!$N$43:$Q$43</formula1>
    </dataValidation>
    <dataValidation type="list" allowBlank="1" showErrorMessage="1" sqref="C54:D54">
      <formula1>data!$N$54:$Q$54</formula1>
    </dataValidation>
    <dataValidation type="list" allowBlank="1" showErrorMessage="1" sqref="F38:G38">
      <formula1>alt!$N$38:$Q$38</formula1>
    </dataValidation>
    <dataValidation type="list" allowBlank="1" showErrorMessage="1" sqref="C82:D82">
      <formula1>data!$N$82:$Q$82</formula1>
    </dataValidation>
    <dataValidation type="list" allowBlank="1" showErrorMessage="1" sqref="F82:G82">
      <formula1>alt!$N$82:$Q$82</formula1>
    </dataValidation>
    <dataValidation type="list" allowBlank="1" showErrorMessage="1" sqref="C22:D22">
      <formula1>data!$N$22:$Q$22</formula1>
    </dataValidation>
    <dataValidation type="list" allowBlank="1" showErrorMessage="1" sqref="F98:G98">
      <formula1>alt!$N$98:$Q$98</formula1>
    </dataValidation>
    <dataValidation type="list" allowBlank="1" showErrorMessage="1" sqref="F14:G14">
      <formula1>alt!$N$14:$Q$14</formula1>
    </dataValidation>
    <dataValidation type="list" allowBlank="1" showErrorMessage="1" sqref="C25:D25">
      <formula1>data!$N$25:$Q$25</formula1>
    </dataValidation>
    <dataValidation type="list" allowBlank="1" showErrorMessage="1" sqref="C53:D53">
      <formula1>data!$N$53:$Q$53</formula1>
    </dataValidation>
    <dataValidation type="list" allowBlank="1" showErrorMessage="1" sqref="C77:D77">
      <formula1>data!$N$77:$Q$77</formula1>
    </dataValidation>
    <dataValidation type="list" allowBlank="1" showErrorMessage="1" sqref="C23:D23">
      <formula1>data!$N$23:$Q$23</formula1>
    </dataValidation>
    <dataValidation type="list" allowBlank="1" showErrorMessage="1" sqref="F44:G44">
      <formula1>alt!$N$44:$Q$44</formula1>
    </dataValidation>
    <dataValidation type="list" allowBlank="1" showErrorMessage="1" sqref="F15:G15">
      <formula1>alt!$N$15:$Q$15</formula1>
    </dataValidation>
    <dataValidation type="list" allowBlank="1" showErrorMessage="1" sqref="F69:G69">
      <formula1>alt!$N$69:$Q$69</formula1>
    </dataValidation>
    <dataValidation type="list" allowBlank="1" showErrorMessage="1" sqref="F39:G39">
      <formula1>alt!$N$39:$Q$39</formula1>
    </dataValidation>
    <dataValidation type="list" allowBlank="1" showErrorMessage="1" sqref="C24:D24">
      <formula1>data!$N$24:$Q$24</formula1>
    </dataValidation>
    <dataValidation type="list" allowBlank="1" showErrorMessage="1" sqref="C78:D78">
      <formula1>data!$N$78:$Q$78</formula1>
    </dataValidation>
    <dataValidation type="list" allowBlank="1" showErrorMessage="1" sqref="F99:G99">
      <formula1>alt!$N$99:$Q$99</formula1>
    </dataValidation>
    <dataValidation type="list" allowBlank="1" showErrorMessage="1" sqref="F9:G9">
      <formula1>alt!$N$9:$Q$9</formula1>
    </dataValidation>
    <dataValidation type="list" allowBlank="1" showErrorMessage="1" sqref="F2:G2">
      <formula1>alt!$N$2:$Q$2</formula1>
    </dataValidation>
    <dataValidation type="list" allowBlank="1" showErrorMessage="1" sqref="C48:D48">
      <formula1>data!$N$48:$Q$48</formula1>
    </dataValidation>
    <dataValidation type="list" allowBlank="1" showErrorMessage="1" sqref="C83:D83">
      <formula1>data!$N$83:$Q$83</formula1>
    </dataValidation>
    <dataValidation type="list" allowBlank="1" showErrorMessage="1" sqref="F58:G58">
      <formula1>alt!$N$58:$Q$58</formula1>
    </dataValidation>
    <dataValidation type="list" allowBlank="1" showErrorMessage="1" sqref="F60:G60">
      <formula1>alt!$N$60:$Q$60</formula1>
    </dataValidation>
    <dataValidation type="list" allowBlank="1" showErrorMessage="1" sqref="F10:G10">
      <formula1>alt!$N$10:$Q$10</formula1>
    </dataValidation>
    <dataValidation type="list" allowBlank="1" showErrorMessage="1" sqref="C19:D19">
      <formula1>data!$N$19:$Q$19</formula1>
    </dataValidation>
    <dataValidation type="list" allowBlank="1" showErrorMessage="1" sqref="C84:D84">
      <formula1>data!$N$84:$Q$84</formula1>
    </dataValidation>
    <dataValidation type="list" allowBlank="1" showErrorMessage="1" sqref="C42:D42">
      <formula1>data!$N$42:$Q$42</formula1>
    </dataValidation>
    <dataValidation type="list" allowBlank="1" showErrorMessage="1" sqref="F52:G52">
      <formula1>alt!$N$52:$Q$52</formula1>
    </dataValidation>
    <dataValidation type="list" allowBlank="1" showErrorMessage="1" sqref="F73:G73">
      <formula1>alt!$N$73:$Q$73</formula1>
    </dataValidation>
    <dataValidation type="list" allowBlank="1" showErrorMessage="1" sqref="C97:D97">
      <formula1>data!$N$97:$Q$97</formula1>
    </dataValidation>
    <dataValidation type="list" allowBlank="1" showErrorMessage="1" sqref="C34:D34">
      <formula1>data!$N$34:$Q$34</formula1>
    </dataValidation>
    <dataValidation type="list" allowBlank="1" showErrorMessage="1" sqref="C6:D6">
      <formula1>data!$N$6:$Q$6</formula1>
    </dataValidation>
    <dataValidation type="list" allowBlank="1" showErrorMessage="1" sqref="F53:G53">
      <formula1>alt!$N$53:$Q$53</formula1>
    </dataValidation>
    <dataValidation type="list" allowBlank="1" showErrorMessage="1" sqref="F11:G11">
      <formula1>alt!$N$11:$Q$11</formula1>
    </dataValidation>
    <dataValidation type="list" allowBlank="1" showErrorMessage="1" sqref="C98:D98">
      <formula1>data!$N$98:$Q$98</formula1>
    </dataValidation>
    <dataValidation type="list" allowBlank="1" showErrorMessage="1" sqref="F65:G65">
      <formula1>alt!$N$65:$Q$65</formula1>
    </dataValidation>
    <dataValidation type="list" allowBlank="1" showErrorMessage="1" sqref="C26:D26">
      <formula1>data!$N$26:$Q$26</formula1>
    </dataValidation>
    <dataValidation type="list" allowBlank="1" showErrorMessage="1" sqref="C91:D91">
      <formula1>data!$N$91:$Q$91</formula1>
    </dataValidation>
    <dataValidation type="list" allowBlank="1" showErrorMessage="1" sqref="F66:G66">
      <formula1>alt!$N$66:$Q$66</formula1>
    </dataValidation>
    <dataValidation type="list" allowBlank="1" showErrorMessage="1" sqref="C27:D27">
      <formula1>data!$N$27:$Q$27</formula1>
    </dataValidation>
    <dataValidation type="list" allowBlank="1" showErrorMessage="1" sqref="C39:D39">
      <formula1>data!$N$39:$Q$39</formula1>
    </dataValidation>
    <dataValidation type="list" allowBlank="1" showErrorMessage="1" sqref="F72:G72">
      <formula1>alt!$N$72:$Q$72</formula1>
    </dataValidation>
    <dataValidation type="list" allowBlank="1" showErrorMessage="1" sqref="C92:D92">
      <formula1>data!$N$92:$Q$92</formula1>
    </dataValidation>
    <dataValidation type="list" allowBlank="1" showErrorMessage="1" sqref="C50:D50">
      <formula1>data!$N$50:$Q$50</formula1>
    </dataValidation>
    <dataValidation type="list" allowBlank="1" showErrorMessage="1" sqref="C28:D28">
      <formula1>data!$N$28:$Q$28</formula1>
    </dataValidation>
    <dataValidation type="list" allowBlank="1" showErrorMessage="1" sqref="F4:G4">
      <formula1>alt!$N$4:$Q$4</formula1>
    </dataValidation>
    <dataValidation type="list" allowBlank="1" showErrorMessage="1" sqref="F49:G49">
      <formula1>alt!$N$49:$Q$49</formula1>
    </dataValidation>
    <dataValidation type="list" allowBlank="1" showErrorMessage="1" sqref="C93:D93">
      <formula1>data!$N$93:$Q$93</formula1>
    </dataValidation>
    <dataValidation type="list" allowBlank="1" showErrorMessage="1" sqref="F64:G64">
      <formula1>alt!$N$64:$Q$64</formula1>
    </dataValidation>
    <dataValidation type="list" allowBlank="1" showErrorMessage="1" sqref="C33:D33">
      <formula1>data!$N$33:$Q$33</formula1>
    </dataValidation>
    <dataValidation type="list" allowBlank="1" showErrorMessage="1" sqref="C96:D96">
      <formula1>data!$N$96:$Q$96</formula1>
    </dataValidation>
    <dataValidation type="list" allowBlank="1" showErrorMessage="1" sqref="F59:G59">
      <formula1>alt!$N$59:$Q$59</formula1>
    </dataValidation>
    <dataValidation type="list" allowBlank="1" showErrorMessage="1" sqref="C40:D40">
      <formula1>data!$N$40:$Q$40</formula1>
    </dataValidation>
    <dataValidation type="list" allowBlank="1" showErrorMessage="1" sqref="F61:G61">
      <formula1>alt!$N$61:$Q$61</formula1>
    </dataValidation>
    <dataValidation type="list" allowBlank="1" showErrorMessage="1" sqref="C43:D43">
      <formula1>data!$N$43:$Q$43</formula1>
    </dataValidation>
    <dataValidation type="list" allowBlank="1" showErrorMessage="1" sqref="F56:G56">
      <formula1>alt!$N$56:$Q$56</formula1>
    </dataValidation>
    <dataValidation type="list" allowBlank="1" showErrorMessage="1" sqref="C88:D88">
      <formula1>data!$N$88:$Q$88</formula1>
    </dataValidation>
    <dataValidation type="list" allowBlank="1" showErrorMessage="1" sqref="C95:D95">
      <formula1>data!$N$95:$Q$95</formula1>
    </dataValidation>
    <dataValidation type="list" allowBlank="1" showErrorMessage="1" sqref="F62:G62">
      <formula1>alt!$N$62:$Q$62</formula1>
    </dataValidation>
    <dataValidation type="list" allowBlank="1" showErrorMessage="1" sqref="C35:D35">
      <formula1>data!$N$35:$Q$35</formula1>
    </dataValidation>
    <dataValidation type="list" allowBlank="1" showErrorMessage="1" sqref="C89:D89">
      <formula1>data!$N$89:$Q$89</formula1>
    </dataValidation>
    <dataValidation type="list" allowBlank="1" showErrorMessage="1" sqref="C8:D8">
      <formula1>data!$N$8:$Q$8</formula1>
    </dataValidation>
    <dataValidation type="list" allowBlank="1" showErrorMessage="1" sqref="C36:D36">
      <formula1>data!$N$36:$Q$36</formula1>
    </dataValidation>
    <dataValidation type="list" allowBlank="1" showErrorMessage="1" sqref="F57:G57">
      <formula1>alt!$N$57:$Q$57</formula1>
    </dataValidation>
    <dataValidation type="list" allowBlank="1" showErrorMessage="1" sqref="F63:G63">
      <formula1>alt!$N$63:$Q$63</formula1>
    </dataValidation>
    <dataValidation type="list" allowBlank="1" showErrorMessage="1" sqref="C41:D41">
      <formula1>data!$N$41:$Q$41</formula1>
    </dataValidation>
  </dataValidations>
  <hyperlinks>
    <hyperlink r:id="rId2" ref="V20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61"/>
    </row>
    <row r="2">
      <c r="A2" s="13" t="s">
        <v>39</v>
      </c>
      <c r="B2" s="13" t="s">
        <v>18</v>
      </c>
      <c r="C2" s="13" t="s">
        <v>45</v>
      </c>
      <c r="D2" s="13" t="s">
        <v>36</v>
      </c>
      <c r="E2" s="13" t="s">
        <v>50</v>
      </c>
      <c r="F2" s="13" t="s">
        <v>27</v>
      </c>
      <c r="G2" s="13" t="s">
        <v>31</v>
      </c>
      <c r="H2" s="13" t="s">
        <v>57</v>
      </c>
      <c r="I2" s="13" t="s">
        <v>60</v>
      </c>
      <c r="J2" s="13" t="s">
        <v>23</v>
      </c>
      <c r="K2" s="13" t="s">
        <v>63</v>
      </c>
      <c r="L2" s="13" t="s">
        <v>67</v>
      </c>
      <c r="M2" s="13" t="s">
        <v>34</v>
      </c>
      <c r="N2" s="62" t="b">
        <f t="array" ref="N2:Q99">IFERROR(if(len(mainclass),transpose(if(transpose(mainclass)=data!A2,indirect("deathknight"),if(transpose(mainclass)=data!B2,indirect("demonhunter"),if(transpose(mainclass)=data!M2,indirect("evoker"),if(transpose(mainclass)=data!C2,indirect("druid"),if(transpose(mainclass)=data!D2,indirect("hunter"),if(transpose(mainclass)=data!E2,indirect("mage"),if(transpose(mainclass)=data!F2,INDIRECT("monk"),if(transpose(mainclass)=data!G2,indirect("paladin"),if(transpose(mainclass)=data!H2,indirect("priest"),if(transpose(mainclass)=data!I2,indirect("rogue"),if(transpose(mainclass)=data!J2,indirect("shaman"),if(transpose(mainclass)=data!K2,indirect("warlock"),if(transpose(mainclass)=data!L2,indirect("warrior")))))))))))))))), "")</f>
        <v>0</v>
      </c>
      <c r="O2" s="10" t="b">
        <v>0</v>
      </c>
      <c r="P2" s="10" t="b">
        <v>0</v>
      </c>
      <c r="Q2" s="10" t="b">
        <v>0</v>
      </c>
      <c r="S2" s="62" t="b">
        <f t="array" ref="S2:U99">IFERROR(if(len(mainclass),transpose(if(transpose(mainclass)=data!F2,indirect("deathknight"),if(transpose(mainclass)=data!G2,indirect("demonhunter"),if(transpose(mainclass)=data!R2,indirect("dracthyr"),if(transpose(mainclass)=data!H2,indirect("druid"),if(transpose(mainclass)=data!I2,indirect("hunter"),if(transpose(mainclass)=data!J2,indirect("mage"),if(transpose(mainclass)=data!K2,INDIRECT("monk"),if(transpose(mainclass)=data!L2,indirect("paladin"),if(transpose(mainclass)=data!M2,indirect("priest"),if(transpose(mainclass)=data!N2,indirect("rogue"),if(transpose(mainclass)=data!O2,indirect("shaman"),if(transpose(mainclass)=data!P2,indirect("warlock"),if(transpose(mainclass)=data!Q2,indirect("warrior")))))))))))))))), "")</f>
        <v>0</v>
      </c>
      <c r="T2" s="10" t="b">
        <v>0</v>
      </c>
      <c r="U2" s="10" t="b">
        <v>0</v>
      </c>
    </row>
    <row r="3">
      <c r="A3" s="13" t="s">
        <v>90</v>
      </c>
      <c r="B3" s="13" t="s">
        <v>91</v>
      </c>
      <c r="C3" s="13" t="s">
        <v>92</v>
      </c>
      <c r="D3" s="13" t="s">
        <v>93</v>
      </c>
      <c r="E3" s="13" t="s">
        <v>94</v>
      </c>
      <c r="F3" s="13" t="s">
        <v>95</v>
      </c>
      <c r="G3" s="13" t="s">
        <v>96</v>
      </c>
      <c r="H3" s="13" t="s">
        <v>97</v>
      </c>
      <c r="I3" s="13" t="s">
        <v>98</v>
      </c>
      <c r="J3" s="13" t="s">
        <v>99</v>
      </c>
      <c r="K3" s="13" t="s">
        <v>100</v>
      </c>
      <c r="L3" s="13" t="s">
        <v>101</v>
      </c>
      <c r="M3" s="13" t="s">
        <v>102</v>
      </c>
      <c r="N3" s="62" t="s">
        <v>91</v>
      </c>
      <c r="O3" s="10" t="s">
        <v>103</v>
      </c>
      <c r="P3" s="10" t="s">
        <v>19</v>
      </c>
      <c r="Q3" s="10" t="s">
        <v>104</v>
      </c>
      <c r="S3" s="10" t="b">
        <v>0</v>
      </c>
      <c r="T3" s="10" t="b">
        <v>0</v>
      </c>
      <c r="U3" s="10" t="b">
        <v>0</v>
      </c>
    </row>
    <row r="4">
      <c r="A4" s="13" t="s">
        <v>105</v>
      </c>
      <c r="B4" s="13" t="s">
        <v>103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110</v>
      </c>
      <c r="H4" s="13" t="s">
        <v>96</v>
      </c>
      <c r="I4" s="13" t="s">
        <v>111</v>
      </c>
      <c r="J4" s="13" t="s">
        <v>112</v>
      </c>
      <c r="K4" s="13" t="s">
        <v>113</v>
      </c>
      <c r="L4" s="13" t="s">
        <v>114</v>
      </c>
      <c r="M4" s="13" t="s">
        <v>115</v>
      </c>
      <c r="N4" s="10" t="s">
        <v>99</v>
      </c>
      <c r="O4" s="10" t="s">
        <v>112</v>
      </c>
      <c r="P4" s="10" t="s">
        <v>116</v>
      </c>
      <c r="Q4" s="10" t="s">
        <v>104</v>
      </c>
      <c r="S4" s="10" t="s">
        <v>94</v>
      </c>
      <c r="T4" s="10" t="s">
        <v>108</v>
      </c>
      <c r="U4" s="10" t="s">
        <v>105</v>
      </c>
    </row>
    <row r="5">
      <c r="A5" s="13" t="s">
        <v>117</v>
      </c>
      <c r="B5" s="13" t="s">
        <v>19</v>
      </c>
      <c r="C5" s="13" t="s">
        <v>118</v>
      </c>
      <c r="D5" s="13" t="s">
        <v>119</v>
      </c>
      <c r="E5" s="13" t="s">
        <v>105</v>
      </c>
      <c r="F5" s="13" t="s">
        <v>120</v>
      </c>
      <c r="G5" s="13" t="s">
        <v>121</v>
      </c>
      <c r="H5" s="13" t="s">
        <v>122</v>
      </c>
      <c r="I5" s="13" t="s">
        <v>123</v>
      </c>
      <c r="J5" s="13" t="s">
        <v>116</v>
      </c>
      <c r="K5" s="13" t="s">
        <v>124</v>
      </c>
      <c r="L5" s="13" t="s">
        <v>110</v>
      </c>
      <c r="M5" s="13" t="s">
        <v>125</v>
      </c>
      <c r="N5" s="10" t="s">
        <v>95</v>
      </c>
      <c r="O5" s="10" t="s">
        <v>109</v>
      </c>
      <c r="P5" s="10" t="s">
        <v>120</v>
      </c>
      <c r="Q5" s="10" t="s">
        <v>104</v>
      </c>
      <c r="S5" s="10" t="s">
        <v>90</v>
      </c>
      <c r="T5" s="10" t="s">
        <v>105</v>
      </c>
      <c r="U5" s="10" t="s">
        <v>117</v>
      </c>
    </row>
    <row r="6">
      <c r="C6" s="13" t="s">
        <v>116</v>
      </c>
      <c r="N6" s="10" t="s">
        <v>96</v>
      </c>
      <c r="O6" s="10" t="s">
        <v>110</v>
      </c>
      <c r="P6" s="10" t="s">
        <v>121</v>
      </c>
      <c r="Q6" s="10" t="s">
        <v>104</v>
      </c>
      <c r="S6" s="10" t="s">
        <v>91</v>
      </c>
      <c r="T6" s="10" t="s">
        <v>103</v>
      </c>
      <c r="U6" s="10" t="s">
        <v>19</v>
      </c>
    </row>
    <row r="7">
      <c r="N7" s="10" t="s">
        <v>102</v>
      </c>
      <c r="O7" s="10" t="s">
        <v>115</v>
      </c>
      <c r="P7" s="10" t="s">
        <v>125</v>
      </c>
      <c r="Q7" s="10" t="s">
        <v>104</v>
      </c>
      <c r="S7" s="10" t="s">
        <v>97</v>
      </c>
      <c r="T7" s="10" t="s">
        <v>96</v>
      </c>
      <c r="U7" s="10" t="s">
        <v>122</v>
      </c>
    </row>
    <row r="8">
      <c r="N8" s="10" t="s">
        <v>93</v>
      </c>
      <c r="O8" s="10" t="s">
        <v>107</v>
      </c>
      <c r="P8" s="10" t="s">
        <v>119</v>
      </c>
      <c r="Q8" s="10" t="s">
        <v>104</v>
      </c>
      <c r="S8" s="10" t="b">
        <v>0</v>
      </c>
      <c r="T8" s="10" t="b">
        <v>0</v>
      </c>
      <c r="U8" s="10" t="b">
        <v>0</v>
      </c>
    </row>
    <row r="9">
      <c r="N9" s="10" t="b">
        <v>0</v>
      </c>
      <c r="O9" s="10" t="b">
        <v>0</v>
      </c>
      <c r="P9" s="10" t="b">
        <v>0</v>
      </c>
      <c r="Q9" s="10" t="b">
        <v>0</v>
      </c>
      <c r="S9" s="10" t="b">
        <v>0</v>
      </c>
      <c r="T9" s="10" t="b">
        <v>0</v>
      </c>
      <c r="U9" s="10" t="b">
        <v>0</v>
      </c>
    </row>
    <row r="10">
      <c r="N10" s="10" t="b">
        <v>0</v>
      </c>
      <c r="O10" s="10" t="b">
        <v>0</v>
      </c>
      <c r="P10" s="10" t="b">
        <v>0</v>
      </c>
      <c r="Q10" s="10" t="b">
        <v>0</v>
      </c>
      <c r="S10" s="10" t="b">
        <v>0</v>
      </c>
      <c r="T10" s="10" t="b">
        <v>0</v>
      </c>
      <c r="U10" s="10" t="b">
        <v>0</v>
      </c>
    </row>
    <row r="11">
      <c r="N11" s="10" t="b">
        <v>0</v>
      </c>
      <c r="O11" s="10" t="b">
        <v>0</v>
      </c>
      <c r="P11" s="10" t="b">
        <v>0</v>
      </c>
      <c r="Q11" s="10" t="b">
        <v>0</v>
      </c>
      <c r="S11" s="10" t="b">
        <v>0</v>
      </c>
      <c r="T11" s="10" t="b">
        <v>0</v>
      </c>
      <c r="U11" s="10" t="b">
        <v>0</v>
      </c>
    </row>
    <row r="12">
      <c r="N12" s="10" t="b">
        <v>0</v>
      </c>
      <c r="O12" s="10" t="b">
        <v>0</v>
      </c>
      <c r="P12" s="10" t="b">
        <v>0</v>
      </c>
      <c r="Q12" s="10" t="b">
        <v>0</v>
      </c>
      <c r="S12" s="10" t="b">
        <v>0</v>
      </c>
      <c r="T12" s="10" t="b">
        <v>0</v>
      </c>
      <c r="U12" s="10" t="b">
        <v>0</v>
      </c>
    </row>
    <row r="13">
      <c r="N13" s="10" t="b">
        <v>0</v>
      </c>
      <c r="O13" s="10" t="b">
        <v>0</v>
      </c>
      <c r="P13" s="10" t="b">
        <v>0</v>
      </c>
      <c r="Q13" s="10" t="b">
        <v>0</v>
      </c>
      <c r="S13" s="10" t="b">
        <v>0</v>
      </c>
      <c r="T13" s="10" t="b">
        <v>0</v>
      </c>
      <c r="U13" s="10" t="b">
        <v>0</v>
      </c>
    </row>
    <row r="14">
      <c r="N14" s="10" t="b">
        <v>0</v>
      </c>
      <c r="O14" s="10" t="b">
        <v>0</v>
      </c>
      <c r="P14" s="10" t="b">
        <v>0</v>
      </c>
      <c r="Q14" s="10" t="b">
        <v>0</v>
      </c>
      <c r="S14" s="10" t="b">
        <v>0</v>
      </c>
      <c r="T14" s="10" t="b">
        <v>0</v>
      </c>
      <c r="U14" s="10" t="b">
        <v>0</v>
      </c>
    </row>
    <row r="15">
      <c r="N15" s="10" t="b">
        <v>0</v>
      </c>
      <c r="O15" s="10" t="b">
        <v>0</v>
      </c>
      <c r="P15" s="10" t="b">
        <v>0</v>
      </c>
      <c r="Q15" s="10" t="b">
        <v>0</v>
      </c>
      <c r="S15" s="10" t="b">
        <v>0</v>
      </c>
      <c r="T15" s="10" t="b">
        <v>0</v>
      </c>
      <c r="U15" s="10" t="b">
        <v>0</v>
      </c>
    </row>
    <row r="16">
      <c r="N16" s="10" t="b">
        <v>0</v>
      </c>
      <c r="O16" s="10" t="b">
        <v>0</v>
      </c>
      <c r="P16" s="10" t="b">
        <v>0</v>
      </c>
      <c r="Q16" s="10" t="b">
        <v>0</v>
      </c>
      <c r="S16" s="10" t="b">
        <v>0</v>
      </c>
      <c r="T16" s="10" t="b">
        <v>0</v>
      </c>
      <c r="U16" s="10" t="b">
        <v>0</v>
      </c>
    </row>
    <row r="17">
      <c r="N17" s="10" t="b">
        <v>0</v>
      </c>
      <c r="O17" s="10" t="b">
        <v>0</v>
      </c>
      <c r="P17" s="10" t="b">
        <v>0</v>
      </c>
      <c r="Q17" s="10" t="b">
        <v>0</v>
      </c>
      <c r="S17" s="10" t="b">
        <v>0</v>
      </c>
      <c r="T17" s="10" t="b">
        <v>0</v>
      </c>
      <c r="U17" s="10" t="b">
        <v>0</v>
      </c>
    </row>
    <row r="18">
      <c r="N18" s="10" t="b">
        <v>0</v>
      </c>
      <c r="O18" s="10" t="b">
        <v>0</v>
      </c>
      <c r="P18" s="10" t="b">
        <v>0</v>
      </c>
      <c r="Q18" s="10" t="b">
        <v>0</v>
      </c>
      <c r="S18" s="10" t="b">
        <v>0</v>
      </c>
      <c r="T18" s="10" t="b">
        <v>0</v>
      </c>
      <c r="U18" s="10" t="b">
        <v>0</v>
      </c>
    </row>
    <row r="19">
      <c r="N19" s="10" t="b">
        <v>0</v>
      </c>
      <c r="O19" s="10" t="b">
        <v>0</v>
      </c>
      <c r="P19" s="10" t="b">
        <v>0</v>
      </c>
      <c r="Q19" s="10" t="b">
        <v>0</v>
      </c>
      <c r="S19" s="10" t="b">
        <v>0</v>
      </c>
      <c r="T19" s="10" t="b">
        <v>0</v>
      </c>
      <c r="U19" s="10" t="b">
        <v>0</v>
      </c>
    </row>
    <row r="20">
      <c r="N20" s="10" t="b">
        <v>0</v>
      </c>
      <c r="O20" s="10" t="b">
        <v>0</v>
      </c>
      <c r="P20" s="10" t="b">
        <v>0</v>
      </c>
      <c r="Q20" s="10" t="b">
        <v>0</v>
      </c>
      <c r="S20" s="10" t="b">
        <v>0</v>
      </c>
      <c r="T20" s="10" t="b">
        <v>0</v>
      </c>
      <c r="U20" s="10" t="b">
        <v>0</v>
      </c>
    </row>
    <row r="21">
      <c r="N21" s="10" t="b">
        <v>0</v>
      </c>
      <c r="O21" s="10" t="b">
        <v>0</v>
      </c>
      <c r="P21" s="10" t="b">
        <v>0</v>
      </c>
      <c r="Q21" s="10" t="b">
        <v>0</v>
      </c>
      <c r="S21" s="10" t="b">
        <v>0</v>
      </c>
      <c r="T21" s="10" t="b">
        <v>0</v>
      </c>
      <c r="U21" s="10" t="b">
        <v>0</v>
      </c>
    </row>
    <row r="22">
      <c r="N22" s="10" t="b">
        <v>0</v>
      </c>
      <c r="O22" s="10" t="b">
        <v>0</v>
      </c>
      <c r="P22" s="10" t="b">
        <v>0</v>
      </c>
      <c r="Q22" s="10" t="b">
        <v>0</v>
      </c>
      <c r="S22" s="10" t="b">
        <v>0</v>
      </c>
      <c r="T22" s="10" t="b">
        <v>0</v>
      </c>
      <c r="U22" s="10" t="b">
        <v>0</v>
      </c>
    </row>
    <row r="23">
      <c r="N23" s="10" t="b">
        <v>0</v>
      </c>
      <c r="O23" s="10" t="b">
        <v>0</v>
      </c>
      <c r="P23" s="10" t="b">
        <v>0</v>
      </c>
      <c r="Q23" s="10" t="b">
        <v>0</v>
      </c>
      <c r="S23" s="10" t="b">
        <v>0</v>
      </c>
      <c r="T23" s="10" t="b">
        <v>0</v>
      </c>
      <c r="U23" s="10" t="b">
        <v>0</v>
      </c>
    </row>
    <row r="24">
      <c r="N24" s="10" t="b">
        <v>0</v>
      </c>
      <c r="O24" s="10" t="b">
        <v>0</v>
      </c>
      <c r="P24" s="10" t="b">
        <v>0</v>
      </c>
      <c r="Q24" s="10" t="b">
        <v>0</v>
      </c>
      <c r="S24" s="10" t="b">
        <v>0</v>
      </c>
      <c r="T24" s="10" t="b">
        <v>0</v>
      </c>
      <c r="U24" s="10" t="b">
        <v>0</v>
      </c>
    </row>
    <row r="25">
      <c r="N25" s="10" t="s">
        <v>92</v>
      </c>
      <c r="O25" s="10" t="s">
        <v>106</v>
      </c>
      <c r="P25" s="10" t="s">
        <v>118</v>
      </c>
      <c r="Q25" s="10" t="s">
        <v>116</v>
      </c>
      <c r="S25" s="10" t="b">
        <v>0</v>
      </c>
      <c r="T25" s="10" t="b">
        <v>0</v>
      </c>
      <c r="U25" s="10" t="b">
        <v>0</v>
      </c>
    </row>
    <row r="26">
      <c r="N26" s="10" t="b">
        <v>0</v>
      </c>
      <c r="O26" s="10" t="b">
        <v>0</v>
      </c>
      <c r="P26" s="10" t="b">
        <v>0</v>
      </c>
      <c r="Q26" s="10" t="b">
        <v>0</v>
      </c>
      <c r="S26" s="10" t="b">
        <v>0</v>
      </c>
      <c r="T26" s="10" t="b">
        <v>0</v>
      </c>
      <c r="U26" s="10" t="b">
        <v>0</v>
      </c>
    </row>
    <row r="27">
      <c r="N27" s="10" t="b">
        <v>0</v>
      </c>
      <c r="O27" s="10" t="b">
        <v>0</v>
      </c>
      <c r="P27" s="10" t="b">
        <v>0</v>
      </c>
      <c r="Q27" s="10" t="b">
        <v>0</v>
      </c>
      <c r="S27" s="10" t="b">
        <v>0</v>
      </c>
      <c r="T27" s="10" t="b">
        <v>0</v>
      </c>
      <c r="U27" s="10" t="b">
        <v>0</v>
      </c>
    </row>
    <row r="28">
      <c r="N28" s="10" t="b">
        <v>0</v>
      </c>
      <c r="O28" s="10" t="b">
        <v>0</v>
      </c>
      <c r="P28" s="10" t="b">
        <v>0</v>
      </c>
      <c r="Q28" s="10" t="b">
        <v>0</v>
      </c>
      <c r="S28" s="10" t="b">
        <v>0</v>
      </c>
      <c r="T28" s="10" t="b">
        <v>0</v>
      </c>
      <c r="U28" s="10" t="b">
        <v>0</v>
      </c>
    </row>
    <row r="29">
      <c r="N29" s="10" t="b">
        <v>0</v>
      </c>
      <c r="O29" s="10" t="b">
        <v>0</v>
      </c>
      <c r="P29" s="10" t="b">
        <v>0</v>
      </c>
      <c r="Q29" s="10" t="b">
        <v>0</v>
      </c>
      <c r="S29" s="10" t="b">
        <v>0</v>
      </c>
      <c r="T29" s="10" t="b">
        <v>0</v>
      </c>
      <c r="U29" s="10" t="b">
        <v>0</v>
      </c>
    </row>
    <row r="30">
      <c r="N30" s="10" t="b">
        <v>0</v>
      </c>
      <c r="O30" s="10" t="b">
        <v>0</v>
      </c>
      <c r="P30" s="10" t="b">
        <v>0</v>
      </c>
      <c r="Q30" s="10" t="b">
        <v>0</v>
      </c>
      <c r="S30" s="10" t="b">
        <v>0</v>
      </c>
      <c r="T30" s="10" t="b">
        <v>0</v>
      </c>
      <c r="U30" s="10" t="b">
        <v>0</v>
      </c>
    </row>
    <row r="31">
      <c r="N31" s="10" t="s">
        <v>94</v>
      </c>
      <c r="O31" s="10" t="s">
        <v>108</v>
      </c>
      <c r="P31" s="10" t="s">
        <v>105</v>
      </c>
      <c r="Q31" s="10" t="s">
        <v>104</v>
      </c>
      <c r="S31" s="10" t="b">
        <v>0</v>
      </c>
      <c r="T31" s="10" t="b">
        <v>0</v>
      </c>
      <c r="U31" s="10" t="b">
        <v>0</v>
      </c>
    </row>
    <row r="32">
      <c r="N32" s="10" t="s">
        <v>91</v>
      </c>
      <c r="O32" s="10" t="s">
        <v>103</v>
      </c>
      <c r="P32" s="10" t="s">
        <v>19</v>
      </c>
      <c r="Q32" s="10" t="s">
        <v>104</v>
      </c>
      <c r="S32" s="10" t="b">
        <v>0</v>
      </c>
      <c r="T32" s="10" t="b">
        <v>0</v>
      </c>
      <c r="U32" s="10" t="b">
        <v>0</v>
      </c>
    </row>
    <row r="33">
      <c r="N33" s="10" t="b">
        <v>0</v>
      </c>
      <c r="O33" s="10" t="b">
        <v>0</v>
      </c>
      <c r="P33" s="10" t="b">
        <v>0</v>
      </c>
      <c r="Q33" s="10" t="b">
        <v>0</v>
      </c>
      <c r="S33" s="10" t="b">
        <v>0</v>
      </c>
      <c r="T33" s="10" t="b">
        <v>0</v>
      </c>
      <c r="U33" s="10" t="b">
        <v>0</v>
      </c>
    </row>
    <row r="34">
      <c r="N34" s="10" t="b">
        <v>0</v>
      </c>
      <c r="O34" s="10" t="b">
        <v>0</v>
      </c>
      <c r="P34" s="10" t="b">
        <v>0</v>
      </c>
      <c r="Q34" s="10" t="b">
        <v>0</v>
      </c>
      <c r="S34" s="10" t="b">
        <v>0</v>
      </c>
      <c r="T34" s="10" t="b">
        <v>0</v>
      </c>
      <c r="U34" s="10" t="b">
        <v>0</v>
      </c>
    </row>
    <row r="35">
      <c r="N35" s="10" t="b">
        <v>0</v>
      </c>
      <c r="O35" s="10" t="b">
        <v>0</v>
      </c>
      <c r="P35" s="10" t="b">
        <v>0</v>
      </c>
      <c r="Q35" s="10" t="b">
        <v>0</v>
      </c>
      <c r="S35" s="10" t="b">
        <v>0</v>
      </c>
      <c r="T35" s="10" t="b">
        <v>0</v>
      </c>
      <c r="U35" s="10" t="b">
        <v>0</v>
      </c>
    </row>
    <row r="36">
      <c r="N36" s="10" t="b">
        <v>0</v>
      </c>
      <c r="O36" s="10" t="b">
        <v>0</v>
      </c>
      <c r="P36" s="10" t="b">
        <v>0</v>
      </c>
      <c r="Q36" s="10" t="b">
        <v>0</v>
      </c>
      <c r="S36" s="10" t="b">
        <v>0</v>
      </c>
      <c r="T36" s="10" t="b">
        <v>0</v>
      </c>
      <c r="U36" s="10" t="b">
        <v>0</v>
      </c>
    </row>
    <row r="37">
      <c r="N37" s="10" t="b">
        <v>0</v>
      </c>
      <c r="O37" s="10" t="b">
        <v>0</v>
      </c>
      <c r="P37" s="10" t="b">
        <v>0</v>
      </c>
      <c r="Q37" s="10" t="b">
        <v>0</v>
      </c>
      <c r="S37" s="10" t="b">
        <v>0</v>
      </c>
      <c r="T37" s="10" t="b">
        <v>0</v>
      </c>
      <c r="U37" s="10" t="b">
        <v>0</v>
      </c>
    </row>
    <row r="38">
      <c r="N38" s="10" t="b">
        <v>0</v>
      </c>
      <c r="O38" s="10" t="b">
        <v>0</v>
      </c>
      <c r="P38" s="10" t="b">
        <v>0</v>
      </c>
      <c r="Q38" s="10" t="b">
        <v>0</v>
      </c>
      <c r="S38" s="10" t="b">
        <v>0</v>
      </c>
      <c r="T38" s="10" t="b">
        <v>0</v>
      </c>
      <c r="U38" s="10" t="b">
        <v>0</v>
      </c>
    </row>
    <row r="39">
      <c r="N39" s="10" t="b">
        <v>0</v>
      </c>
      <c r="O39" s="10" t="b">
        <v>0</v>
      </c>
      <c r="P39" s="10" t="b">
        <v>0</v>
      </c>
      <c r="Q39" s="10" t="b">
        <v>0</v>
      </c>
      <c r="S39" s="10" t="b">
        <v>0</v>
      </c>
      <c r="T39" s="10" t="b">
        <v>0</v>
      </c>
      <c r="U39" s="10" t="b">
        <v>0</v>
      </c>
    </row>
    <row r="40">
      <c r="N40" s="10" t="b">
        <v>0</v>
      </c>
      <c r="O40" s="10" t="b">
        <v>0</v>
      </c>
      <c r="P40" s="10" t="b">
        <v>0</v>
      </c>
      <c r="Q40" s="10" t="b">
        <v>0</v>
      </c>
      <c r="S40" s="10" t="b">
        <v>0</v>
      </c>
      <c r="T40" s="10" t="b">
        <v>0</v>
      </c>
      <c r="U40" s="10" t="b">
        <v>0</v>
      </c>
    </row>
    <row r="41">
      <c r="N41" s="10" t="b">
        <v>0</v>
      </c>
      <c r="O41" s="10" t="b">
        <v>0</v>
      </c>
      <c r="P41" s="10" t="b">
        <v>0</v>
      </c>
      <c r="Q41" s="10" t="b">
        <v>0</v>
      </c>
      <c r="S41" s="10" t="b">
        <v>0</v>
      </c>
      <c r="T41" s="10" t="b">
        <v>0</v>
      </c>
      <c r="U41" s="10" t="b">
        <v>0</v>
      </c>
    </row>
    <row r="42">
      <c r="N42" s="10" t="b">
        <v>0</v>
      </c>
      <c r="O42" s="10" t="b">
        <v>0</v>
      </c>
      <c r="P42" s="10" t="b">
        <v>0</v>
      </c>
      <c r="Q42" s="10" t="b">
        <v>0</v>
      </c>
      <c r="S42" s="10" t="b">
        <v>0</v>
      </c>
      <c r="T42" s="10" t="b">
        <v>0</v>
      </c>
      <c r="U42" s="10" t="b">
        <v>0</v>
      </c>
    </row>
    <row r="43">
      <c r="N43" s="10" t="b">
        <v>0</v>
      </c>
      <c r="O43" s="10" t="b">
        <v>0</v>
      </c>
      <c r="P43" s="10" t="b">
        <v>0</v>
      </c>
      <c r="Q43" s="10" t="b">
        <v>0</v>
      </c>
      <c r="S43" s="10" t="b">
        <v>0</v>
      </c>
      <c r="T43" s="10" t="b">
        <v>0</v>
      </c>
      <c r="U43" s="10" t="b">
        <v>0</v>
      </c>
    </row>
    <row r="44">
      <c r="N44" s="10" t="b">
        <v>0</v>
      </c>
      <c r="O44" s="10" t="b">
        <v>0</v>
      </c>
      <c r="P44" s="10" t="b">
        <v>0</v>
      </c>
      <c r="Q44" s="10" t="b">
        <v>0</v>
      </c>
      <c r="S44" s="10" t="b">
        <v>0</v>
      </c>
      <c r="T44" s="10" t="b">
        <v>0</v>
      </c>
      <c r="U44" s="10" t="b">
        <v>0</v>
      </c>
    </row>
    <row r="45">
      <c r="N45" s="10" t="b">
        <v>0</v>
      </c>
      <c r="O45" s="10" t="b">
        <v>0</v>
      </c>
      <c r="P45" s="10" t="b">
        <v>0</v>
      </c>
      <c r="Q45" s="10" t="b">
        <v>0</v>
      </c>
      <c r="S45" s="10" t="b">
        <v>0</v>
      </c>
      <c r="T45" s="10" t="b">
        <v>0</v>
      </c>
      <c r="U45" s="10" t="b">
        <v>0</v>
      </c>
    </row>
    <row r="46">
      <c r="N46" s="10" t="b">
        <v>0</v>
      </c>
      <c r="O46" s="10" t="b">
        <v>0</v>
      </c>
      <c r="P46" s="10" t="b">
        <v>0</v>
      </c>
      <c r="Q46" s="10" t="b">
        <v>0</v>
      </c>
      <c r="S46" s="10" t="b">
        <v>0</v>
      </c>
      <c r="T46" s="10" t="b">
        <v>0</v>
      </c>
      <c r="U46" s="10" t="b">
        <v>0</v>
      </c>
    </row>
    <row r="47">
      <c r="N47" s="10" t="b">
        <v>0</v>
      </c>
      <c r="O47" s="10" t="b">
        <v>0</v>
      </c>
      <c r="P47" s="10" t="b">
        <v>0</v>
      </c>
      <c r="Q47" s="10" t="b">
        <v>0</v>
      </c>
      <c r="S47" s="10" t="b">
        <v>0</v>
      </c>
      <c r="T47" s="10" t="b">
        <v>0</v>
      </c>
      <c r="U47" s="10" t="b">
        <v>0</v>
      </c>
    </row>
    <row r="48">
      <c r="N48" s="10" t="b">
        <v>0</v>
      </c>
      <c r="O48" s="10" t="b">
        <v>0</v>
      </c>
      <c r="P48" s="10" t="b">
        <v>0</v>
      </c>
      <c r="Q48" s="10" t="b">
        <v>0</v>
      </c>
      <c r="S48" s="10" t="b">
        <v>0</v>
      </c>
      <c r="T48" s="10" t="b">
        <v>0</v>
      </c>
      <c r="U48" s="10" t="b">
        <v>0</v>
      </c>
    </row>
    <row r="49">
      <c r="N49" s="10" t="b">
        <v>0</v>
      </c>
      <c r="O49" s="10" t="b">
        <v>0</v>
      </c>
      <c r="P49" s="10" t="b">
        <v>0</v>
      </c>
      <c r="Q49" s="10" t="b">
        <v>0</v>
      </c>
      <c r="S49" s="10" t="b">
        <v>0</v>
      </c>
      <c r="T49" s="10" t="b">
        <v>0</v>
      </c>
      <c r="U49" s="10" t="b">
        <v>0</v>
      </c>
    </row>
    <row r="50">
      <c r="N50" s="10" t="b">
        <v>0</v>
      </c>
      <c r="O50" s="10" t="b">
        <v>0</v>
      </c>
      <c r="P50" s="10" t="b">
        <v>0</v>
      </c>
      <c r="Q50" s="10" t="b">
        <v>0</v>
      </c>
      <c r="S50" s="10" t="b">
        <v>0</v>
      </c>
      <c r="T50" s="10" t="b">
        <v>0</v>
      </c>
      <c r="U50" s="10" t="b">
        <v>0</v>
      </c>
    </row>
    <row r="51">
      <c r="N51" s="10" t="b">
        <v>0</v>
      </c>
      <c r="O51" s="10" t="b">
        <v>0</v>
      </c>
      <c r="P51" s="10" t="b">
        <v>0</v>
      </c>
      <c r="Q51" s="10" t="b">
        <v>0</v>
      </c>
      <c r="S51" s="10" t="b">
        <v>0</v>
      </c>
      <c r="T51" s="10" t="b">
        <v>0</v>
      </c>
      <c r="U51" s="10" t="b">
        <v>0</v>
      </c>
    </row>
    <row r="52">
      <c r="N52" s="10" t="b">
        <v>0</v>
      </c>
      <c r="O52" s="10" t="b">
        <v>0</v>
      </c>
      <c r="P52" s="10" t="b">
        <v>0</v>
      </c>
      <c r="Q52" s="10" t="b">
        <v>0</v>
      </c>
      <c r="S52" s="10" t="b">
        <v>0</v>
      </c>
      <c r="T52" s="10" t="b">
        <v>0</v>
      </c>
      <c r="U52" s="10" t="b">
        <v>0</v>
      </c>
    </row>
    <row r="53">
      <c r="N53" s="10" t="b">
        <v>0</v>
      </c>
      <c r="O53" s="10" t="b">
        <v>0</v>
      </c>
      <c r="P53" s="10" t="b">
        <v>0</v>
      </c>
      <c r="Q53" s="10" t="b">
        <v>0</v>
      </c>
      <c r="S53" s="10" t="b">
        <v>0</v>
      </c>
      <c r="T53" s="10" t="b">
        <v>0</v>
      </c>
      <c r="U53" s="10" t="b">
        <v>0</v>
      </c>
    </row>
    <row r="54">
      <c r="N54" s="10" t="b">
        <v>0</v>
      </c>
      <c r="O54" s="10" t="b">
        <v>0</v>
      </c>
      <c r="P54" s="10" t="b">
        <v>0</v>
      </c>
      <c r="Q54" s="10" t="b">
        <v>0</v>
      </c>
      <c r="S54" s="10" t="b">
        <v>0</v>
      </c>
      <c r="T54" s="10" t="b">
        <v>0</v>
      </c>
      <c r="U54" s="10" t="b">
        <v>0</v>
      </c>
    </row>
    <row r="55">
      <c r="N55" s="10" t="b">
        <v>0</v>
      </c>
      <c r="O55" s="10" t="b">
        <v>0</v>
      </c>
      <c r="P55" s="10" t="b">
        <v>0</v>
      </c>
      <c r="Q55" s="10" t="b">
        <v>0</v>
      </c>
      <c r="S55" s="10" t="b">
        <v>0</v>
      </c>
      <c r="T55" s="10" t="b">
        <v>0</v>
      </c>
      <c r="U55" s="10" t="b">
        <v>0</v>
      </c>
    </row>
    <row r="56">
      <c r="N56" s="10" t="b">
        <v>0</v>
      </c>
      <c r="O56" s="10" t="b">
        <v>0</v>
      </c>
      <c r="P56" s="10" t="b">
        <v>0</v>
      </c>
      <c r="Q56" s="10" t="b">
        <v>0</v>
      </c>
      <c r="S56" s="10" t="b">
        <v>0</v>
      </c>
      <c r="T56" s="10" t="b">
        <v>0</v>
      </c>
      <c r="U56" s="10" t="b">
        <v>0</v>
      </c>
    </row>
    <row r="57">
      <c r="N57" s="10" t="b">
        <v>0</v>
      </c>
      <c r="O57" s="10" t="b">
        <v>0</v>
      </c>
      <c r="P57" s="10" t="b">
        <v>0</v>
      </c>
      <c r="Q57" s="10" t="b">
        <v>0</v>
      </c>
      <c r="S57" s="10" t="b">
        <v>0</v>
      </c>
      <c r="T57" s="10" t="b">
        <v>0</v>
      </c>
      <c r="U57" s="10" t="b">
        <v>0</v>
      </c>
    </row>
    <row r="58">
      <c r="N58" s="10" t="b">
        <v>0</v>
      </c>
      <c r="O58" s="10" t="b">
        <v>0</v>
      </c>
      <c r="P58" s="10" t="b">
        <v>0</v>
      </c>
      <c r="Q58" s="10" t="b">
        <v>0</v>
      </c>
      <c r="S58" s="10" t="b">
        <v>0</v>
      </c>
      <c r="T58" s="10" t="b">
        <v>0</v>
      </c>
      <c r="U58" s="10" t="b">
        <v>0</v>
      </c>
    </row>
    <row r="59">
      <c r="N59" s="10" t="b">
        <v>0</v>
      </c>
      <c r="O59" s="10" t="b">
        <v>0</v>
      </c>
      <c r="P59" s="10" t="b">
        <v>0</v>
      </c>
      <c r="Q59" s="10" t="b">
        <v>0</v>
      </c>
      <c r="S59" s="10" t="b">
        <v>0</v>
      </c>
      <c r="T59" s="10" t="b">
        <v>0</v>
      </c>
      <c r="U59" s="10" t="b">
        <v>0</v>
      </c>
    </row>
    <row r="60">
      <c r="N60" s="10" t="b">
        <v>0</v>
      </c>
      <c r="O60" s="10" t="b">
        <v>0</v>
      </c>
      <c r="P60" s="10" t="b">
        <v>0</v>
      </c>
      <c r="Q60" s="10" t="b">
        <v>0</v>
      </c>
      <c r="S60" s="10" t="b">
        <v>0</v>
      </c>
      <c r="T60" s="10" t="b">
        <v>0</v>
      </c>
      <c r="U60" s="10" t="b">
        <v>0</v>
      </c>
    </row>
    <row r="61">
      <c r="N61" s="10" t="b">
        <v>0</v>
      </c>
      <c r="O61" s="10" t="b">
        <v>0</v>
      </c>
      <c r="P61" s="10" t="b">
        <v>0</v>
      </c>
      <c r="Q61" s="10" t="b">
        <v>0</v>
      </c>
      <c r="S61" s="10" t="b">
        <v>0</v>
      </c>
      <c r="T61" s="10" t="b">
        <v>0</v>
      </c>
      <c r="U61" s="10" t="b">
        <v>0</v>
      </c>
    </row>
    <row r="62">
      <c r="N62" s="10" t="b">
        <v>0</v>
      </c>
      <c r="O62" s="10" t="b">
        <v>0</v>
      </c>
      <c r="P62" s="10" t="b">
        <v>0</v>
      </c>
      <c r="Q62" s="10" t="b">
        <v>0</v>
      </c>
      <c r="S62" s="10" t="b">
        <v>0</v>
      </c>
      <c r="T62" s="10" t="b">
        <v>0</v>
      </c>
      <c r="U62" s="10" t="b">
        <v>0</v>
      </c>
    </row>
    <row r="63">
      <c r="N63" s="10" t="b">
        <v>0</v>
      </c>
      <c r="O63" s="10" t="b">
        <v>0</v>
      </c>
      <c r="P63" s="10" t="b">
        <v>0</v>
      </c>
      <c r="Q63" s="10" t="b">
        <v>0</v>
      </c>
      <c r="S63" s="10" t="b">
        <v>0</v>
      </c>
      <c r="T63" s="10" t="b">
        <v>0</v>
      </c>
      <c r="U63" s="10" t="b">
        <v>0</v>
      </c>
    </row>
    <row r="64">
      <c r="N64" s="10" t="b">
        <v>0</v>
      </c>
      <c r="O64" s="10" t="b">
        <v>0</v>
      </c>
      <c r="P64" s="10" t="b">
        <v>0</v>
      </c>
      <c r="Q64" s="10" t="b">
        <v>0</v>
      </c>
      <c r="S64" s="10" t="b">
        <v>0</v>
      </c>
      <c r="T64" s="10" t="b">
        <v>0</v>
      </c>
      <c r="U64" s="10" t="b">
        <v>0</v>
      </c>
    </row>
    <row r="65">
      <c r="N65" s="10" t="b">
        <v>0</v>
      </c>
      <c r="O65" s="10" t="b">
        <v>0</v>
      </c>
      <c r="P65" s="10" t="b">
        <v>0</v>
      </c>
      <c r="Q65" s="10" t="b">
        <v>0</v>
      </c>
      <c r="S65" s="10" t="b">
        <v>0</v>
      </c>
      <c r="T65" s="10" t="b">
        <v>0</v>
      </c>
      <c r="U65" s="10" t="b">
        <v>0</v>
      </c>
    </row>
    <row r="66">
      <c r="N66" s="10" t="b">
        <v>0</v>
      </c>
      <c r="O66" s="10" t="b">
        <v>0</v>
      </c>
      <c r="P66" s="10" t="b">
        <v>0</v>
      </c>
      <c r="Q66" s="10" t="b">
        <v>0</v>
      </c>
      <c r="S66" s="10" t="b">
        <v>0</v>
      </c>
      <c r="T66" s="10" t="b">
        <v>0</v>
      </c>
      <c r="U66" s="10" t="b">
        <v>0</v>
      </c>
    </row>
    <row r="67">
      <c r="N67" s="10" t="b">
        <v>0</v>
      </c>
      <c r="O67" s="10" t="b">
        <v>0</v>
      </c>
      <c r="P67" s="10" t="b">
        <v>0</v>
      </c>
      <c r="Q67" s="10" t="b">
        <v>0</v>
      </c>
      <c r="S67" s="10" t="b">
        <v>0</v>
      </c>
      <c r="T67" s="10" t="b">
        <v>0</v>
      </c>
      <c r="U67" s="10" t="b">
        <v>0</v>
      </c>
    </row>
    <row r="68">
      <c r="N68" s="10" t="b">
        <v>0</v>
      </c>
      <c r="O68" s="10" t="b">
        <v>0</v>
      </c>
      <c r="P68" s="10" t="b">
        <v>0</v>
      </c>
      <c r="Q68" s="10" t="b">
        <v>0</v>
      </c>
      <c r="S68" s="10" t="b">
        <v>0</v>
      </c>
      <c r="T68" s="10" t="b">
        <v>0</v>
      </c>
      <c r="U68" s="10" t="b">
        <v>0</v>
      </c>
    </row>
    <row r="69">
      <c r="N69" s="10" t="b">
        <v>0</v>
      </c>
      <c r="O69" s="10" t="b">
        <v>0</v>
      </c>
      <c r="P69" s="10" t="b">
        <v>0</v>
      </c>
      <c r="Q69" s="10" t="b">
        <v>0</v>
      </c>
      <c r="S69" s="10" t="b">
        <v>0</v>
      </c>
      <c r="T69" s="10" t="b">
        <v>0</v>
      </c>
      <c r="U69" s="10" t="b">
        <v>0</v>
      </c>
    </row>
    <row r="70">
      <c r="N70" s="10" t="b">
        <v>0</v>
      </c>
      <c r="O70" s="10" t="b">
        <v>0</v>
      </c>
      <c r="P70" s="10" t="b">
        <v>0</v>
      </c>
      <c r="Q70" s="10" t="b">
        <v>0</v>
      </c>
      <c r="S70" s="10" t="b">
        <v>0</v>
      </c>
      <c r="T70" s="10" t="b">
        <v>0</v>
      </c>
      <c r="U70" s="10" t="b">
        <v>0</v>
      </c>
    </row>
    <row r="71">
      <c r="N71" s="10" t="b">
        <v>0</v>
      </c>
      <c r="O71" s="10" t="b">
        <v>0</v>
      </c>
      <c r="P71" s="10" t="b">
        <v>0</v>
      </c>
      <c r="Q71" s="10" t="b">
        <v>0</v>
      </c>
      <c r="S71" s="10" t="b">
        <v>0</v>
      </c>
      <c r="T71" s="10" t="b">
        <v>0</v>
      </c>
      <c r="U71" s="10" t="b">
        <v>0</v>
      </c>
    </row>
    <row r="72">
      <c r="N72" s="10" t="b">
        <v>0</v>
      </c>
      <c r="O72" s="10" t="b">
        <v>0</v>
      </c>
      <c r="P72" s="10" t="b">
        <v>0</v>
      </c>
      <c r="Q72" s="10" t="b">
        <v>0</v>
      </c>
      <c r="S72" s="10" t="b">
        <v>0</v>
      </c>
      <c r="T72" s="10" t="b">
        <v>0</v>
      </c>
      <c r="U72" s="10" t="b">
        <v>0</v>
      </c>
    </row>
    <row r="73">
      <c r="N73" s="10" t="b">
        <v>0</v>
      </c>
      <c r="O73" s="10" t="b">
        <v>0</v>
      </c>
      <c r="P73" s="10" t="b">
        <v>0</v>
      </c>
      <c r="Q73" s="10" t="b">
        <v>0</v>
      </c>
      <c r="S73" s="10" t="b">
        <v>0</v>
      </c>
      <c r="T73" s="10" t="b">
        <v>0</v>
      </c>
      <c r="U73" s="10" t="b">
        <v>0</v>
      </c>
    </row>
    <row r="74">
      <c r="N74" s="10" t="b">
        <v>0</v>
      </c>
      <c r="O74" s="10" t="b">
        <v>0</v>
      </c>
      <c r="P74" s="10" t="b">
        <v>0</v>
      </c>
      <c r="Q74" s="10" t="b">
        <v>0</v>
      </c>
      <c r="S74" s="10" t="b">
        <v>0</v>
      </c>
      <c r="T74" s="10" t="b">
        <v>0</v>
      </c>
      <c r="U74" s="10" t="b">
        <v>0</v>
      </c>
    </row>
    <row r="75">
      <c r="N75" s="10" t="b">
        <v>0</v>
      </c>
      <c r="O75" s="10" t="b">
        <v>0</v>
      </c>
      <c r="P75" s="10" t="b">
        <v>0</v>
      </c>
      <c r="Q75" s="10" t="b">
        <v>0</v>
      </c>
      <c r="S75" s="10" t="b">
        <v>0</v>
      </c>
      <c r="T75" s="10" t="b">
        <v>0</v>
      </c>
      <c r="U75" s="10" t="b">
        <v>0</v>
      </c>
    </row>
    <row r="76">
      <c r="N76" s="10" t="b">
        <v>0</v>
      </c>
      <c r="O76" s="10" t="b">
        <v>0</v>
      </c>
      <c r="P76" s="10" t="b">
        <v>0</v>
      </c>
      <c r="Q76" s="10" t="b">
        <v>0</v>
      </c>
      <c r="S76" s="10" t="b">
        <v>0</v>
      </c>
      <c r="T76" s="10" t="b">
        <v>0</v>
      </c>
      <c r="U76" s="10" t="b">
        <v>0</v>
      </c>
    </row>
    <row r="77">
      <c r="N77" s="10" t="b">
        <v>0</v>
      </c>
      <c r="O77" s="10" t="b">
        <v>0</v>
      </c>
      <c r="P77" s="10" t="b">
        <v>0</v>
      </c>
      <c r="Q77" s="10" t="b">
        <v>0</v>
      </c>
      <c r="S77" s="10" t="b">
        <v>0</v>
      </c>
      <c r="T77" s="10" t="b">
        <v>0</v>
      </c>
      <c r="U77" s="10" t="b">
        <v>0</v>
      </c>
    </row>
    <row r="78">
      <c r="N78" s="10" t="b">
        <v>0</v>
      </c>
      <c r="O78" s="10" t="b">
        <v>0</v>
      </c>
      <c r="P78" s="10" t="b">
        <v>0</v>
      </c>
      <c r="Q78" s="10" t="b">
        <v>0</v>
      </c>
      <c r="S78" s="10" t="b">
        <v>0</v>
      </c>
      <c r="T78" s="10" t="b">
        <v>0</v>
      </c>
      <c r="U78" s="10" t="b">
        <v>0</v>
      </c>
    </row>
    <row r="79">
      <c r="N79" s="10" t="b">
        <v>0</v>
      </c>
      <c r="O79" s="10" t="b">
        <v>0</v>
      </c>
      <c r="P79" s="10" t="b">
        <v>0</v>
      </c>
      <c r="Q79" s="10" t="b">
        <v>0</v>
      </c>
      <c r="S79" s="10" t="b">
        <v>0</v>
      </c>
      <c r="T79" s="10" t="b">
        <v>0</v>
      </c>
      <c r="U79" s="10" t="b">
        <v>0</v>
      </c>
    </row>
    <row r="80">
      <c r="N80" s="10" t="b">
        <v>0</v>
      </c>
      <c r="O80" s="10" t="b">
        <v>0</v>
      </c>
      <c r="P80" s="10" t="b">
        <v>0</v>
      </c>
      <c r="Q80" s="10" t="b">
        <v>0</v>
      </c>
      <c r="S80" s="10" t="b">
        <v>0</v>
      </c>
      <c r="T80" s="10" t="b">
        <v>0</v>
      </c>
      <c r="U80" s="10" t="b">
        <v>0</v>
      </c>
    </row>
    <row r="81">
      <c r="N81" s="10" t="b">
        <v>0</v>
      </c>
      <c r="O81" s="10" t="b">
        <v>0</v>
      </c>
      <c r="P81" s="10" t="b">
        <v>0</v>
      </c>
      <c r="Q81" s="10" t="b">
        <v>0</v>
      </c>
      <c r="S81" s="10" t="b">
        <v>0</v>
      </c>
      <c r="T81" s="10" t="b">
        <v>0</v>
      </c>
      <c r="U81" s="10" t="b">
        <v>0</v>
      </c>
    </row>
    <row r="82">
      <c r="N82" s="10" t="b">
        <v>0</v>
      </c>
      <c r="O82" s="10" t="b">
        <v>0</v>
      </c>
      <c r="P82" s="10" t="b">
        <v>0</v>
      </c>
      <c r="Q82" s="10" t="b">
        <v>0</v>
      </c>
      <c r="S82" s="10" t="b">
        <v>0</v>
      </c>
      <c r="T82" s="10" t="b">
        <v>0</v>
      </c>
      <c r="U82" s="10" t="b">
        <v>0</v>
      </c>
    </row>
    <row r="83">
      <c r="N83" s="10" t="b">
        <v>0</v>
      </c>
      <c r="O83" s="10" t="b">
        <v>0</v>
      </c>
      <c r="P83" s="10" t="b">
        <v>0</v>
      </c>
      <c r="Q83" s="10" t="b">
        <v>0</v>
      </c>
      <c r="S83" s="10" t="b">
        <v>0</v>
      </c>
      <c r="T83" s="10" t="b">
        <v>0</v>
      </c>
      <c r="U83" s="10" t="b">
        <v>0</v>
      </c>
    </row>
    <row r="84">
      <c r="N84" s="10" t="b">
        <v>0</v>
      </c>
      <c r="O84" s="10" t="b">
        <v>0</v>
      </c>
      <c r="P84" s="10" t="b">
        <v>0</v>
      </c>
      <c r="Q84" s="10" t="b">
        <v>0</v>
      </c>
      <c r="S84" s="10" t="b">
        <v>0</v>
      </c>
      <c r="T84" s="10" t="b">
        <v>0</v>
      </c>
      <c r="U84" s="10" t="b">
        <v>0</v>
      </c>
    </row>
    <row r="85">
      <c r="N85" s="10" t="b">
        <v>0</v>
      </c>
      <c r="O85" s="10" t="b">
        <v>0</v>
      </c>
      <c r="P85" s="10" t="b">
        <v>0</v>
      </c>
      <c r="Q85" s="10" t="b">
        <v>0</v>
      </c>
      <c r="S85" s="10" t="b">
        <v>0</v>
      </c>
      <c r="T85" s="10" t="b">
        <v>0</v>
      </c>
      <c r="U85" s="10" t="b">
        <v>0</v>
      </c>
    </row>
    <row r="86">
      <c r="N86" s="10" t="b">
        <v>0</v>
      </c>
      <c r="O86" s="10" t="b">
        <v>0</v>
      </c>
      <c r="P86" s="10" t="b">
        <v>0</v>
      </c>
      <c r="Q86" s="10" t="b">
        <v>0</v>
      </c>
      <c r="S86" s="10" t="b">
        <v>0</v>
      </c>
      <c r="T86" s="10" t="b">
        <v>0</v>
      </c>
      <c r="U86" s="10" t="b">
        <v>0</v>
      </c>
    </row>
    <row r="87">
      <c r="N87" s="10" t="b">
        <v>0</v>
      </c>
      <c r="O87" s="10" t="b">
        <v>0</v>
      </c>
      <c r="P87" s="10" t="b">
        <v>0</v>
      </c>
      <c r="Q87" s="10" t="b">
        <v>0</v>
      </c>
      <c r="S87" s="10" t="b">
        <v>0</v>
      </c>
      <c r="T87" s="10" t="b">
        <v>0</v>
      </c>
      <c r="U87" s="10" t="b">
        <v>0</v>
      </c>
    </row>
    <row r="88">
      <c r="N88" s="10" t="b">
        <v>0</v>
      </c>
      <c r="O88" s="10" t="b">
        <v>0</v>
      </c>
      <c r="P88" s="10" t="b">
        <v>0</v>
      </c>
      <c r="Q88" s="10" t="b">
        <v>0</v>
      </c>
      <c r="S88" s="10" t="b">
        <v>0</v>
      </c>
      <c r="T88" s="10" t="b">
        <v>0</v>
      </c>
      <c r="U88" s="10" t="b">
        <v>0</v>
      </c>
    </row>
    <row r="89">
      <c r="N89" s="10" t="b">
        <v>0</v>
      </c>
      <c r="O89" s="10" t="b">
        <v>0</v>
      </c>
      <c r="P89" s="10" t="b">
        <v>0</v>
      </c>
      <c r="Q89" s="10" t="b">
        <v>0</v>
      </c>
      <c r="S89" s="10" t="b">
        <v>0</v>
      </c>
      <c r="T89" s="10" t="b">
        <v>0</v>
      </c>
      <c r="U89" s="10" t="b">
        <v>0</v>
      </c>
    </row>
    <row r="90">
      <c r="N90" s="10" t="b">
        <v>0</v>
      </c>
      <c r="O90" s="10" t="b">
        <v>0</v>
      </c>
      <c r="P90" s="10" t="b">
        <v>0</v>
      </c>
      <c r="Q90" s="10" t="b">
        <v>0</v>
      </c>
      <c r="S90" s="10" t="b">
        <v>0</v>
      </c>
      <c r="T90" s="10" t="b">
        <v>0</v>
      </c>
      <c r="U90" s="10" t="b">
        <v>0</v>
      </c>
    </row>
    <row r="91">
      <c r="N91" s="10" t="b">
        <v>0</v>
      </c>
      <c r="O91" s="10" t="b">
        <v>0</v>
      </c>
      <c r="P91" s="10" t="b">
        <v>0</v>
      </c>
      <c r="Q91" s="10" t="b">
        <v>0</v>
      </c>
      <c r="S91" s="10" t="b">
        <v>0</v>
      </c>
      <c r="T91" s="10" t="b">
        <v>0</v>
      </c>
      <c r="U91" s="10" t="b">
        <v>0</v>
      </c>
    </row>
    <row r="92">
      <c r="N92" s="10" t="b">
        <v>0</v>
      </c>
      <c r="O92" s="10" t="b">
        <v>0</v>
      </c>
      <c r="P92" s="10" t="b">
        <v>0</v>
      </c>
      <c r="Q92" s="10" t="b">
        <v>0</v>
      </c>
      <c r="S92" s="10" t="b">
        <v>0</v>
      </c>
      <c r="T92" s="10" t="b">
        <v>0</v>
      </c>
      <c r="U92" s="10" t="b">
        <v>0</v>
      </c>
    </row>
    <row r="93">
      <c r="N93" s="10" t="b">
        <v>0</v>
      </c>
      <c r="O93" s="10" t="b">
        <v>0</v>
      </c>
      <c r="P93" s="10" t="b">
        <v>0</v>
      </c>
      <c r="Q93" s="10" t="b">
        <v>0</v>
      </c>
      <c r="S93" s="10" t="b">
        <v>0</v>
      </c>
      <c r="T93" s="10" t="b">
        <v>0</v>
      </c>
      <c r="U93" s="10" t="b">
        <v>0</v>
      </c>
    </row>
    <row r="94">
      <c r="N94" s="10" t="b">
        <v>0</v>
      </c>
      <c r="O94" s="10" t="b">
        <v>0</v>
      </c>
      <c r="P94" s="10" t="b">
        <v>0</v>
      </c>
      <c r="Q94" s="10" t="b">
        <v>0</v>
      </c>
      <c r="S94" s="10" t="b">
        <v>0</v>
      </c>
      <c r="T94" s="10" t="b">
        <v>0</v>
      </c>
      <c r="U94" s="10" t="b">
        <v>0</v>
      </c>
    </row>
    <row r="95">
      <c r="N95" s="10" t="b">
        <v>0</v>
      </c>
      <c r="O95" s="10" t="b">
        <v>0</v>
      </c>
      <c r="P95" s="10" t="b">
        <v>0</v>
      </c>
      <c r="Q95" s="10" t="b">
        <v>0</v>
      </c>
      <c r="S95" s="10" t="b">
        <v>0</v>
      </c>
      <c r="T95" s="10" t="b">
        <v>0</v>
      </c>
      <c r="U95" s="10" t="b">
        <v>0</v>
      </c>
    </row>
    <row r="96">
      <c r="N96" s="10" t="b">
        <v>0</v>
      </c>
      <c r="O96" s="10" t="b">
        <v>0</v>
      </c>
      <c r="P96" s="10" t="b">
        <v>0</v>
      </c>
      <c r="Q96" s="10" t="b">
        <v>0</v>
      </c>
      <c r="S96" s="10" t="b">
        <v>0</v>
      </c>
      <c r="T96" s="10" t="b">
        <v>0</v>
      </c>
      <c r="U96" s="10" t="b">
        <v>0</v>
      </c>
    </row>
    <row r="97">
      <c r="N97" s="10" t="b">
        <v>0</v>
      </c>
      <c r="O97" s="10" t="b">
        <v>0</v>
      </c>
      <c r="P97" s="10" t="b">
        <v>0</v>
      </c>
      <c r="Q97" s="10" t="b">
        <v>0</v>
      </c>
      <c r="S97" s="10" t="b">
        <v>0</v>
      </c>
      <c r="T97" s="10" t="b">
        <v>0</v>
      </c>
      <c r="U97" s="10" t="b">
        <v>0</v>
      </c>
    </row>
    <row r="98">
      <c r="N98" s="10" t="b">
        <v>0</v>
      </c>
      <c r="O98" s="10" t="b">
        <v>0</v>
      </c>
      <c r="P98" s="10" t="b">
        <v>0</v>
      </c>
      <c r="Q98" s="10" t="b">
        <v>0</v>
      </c>
      <c r="S98" s="10" t="b">
        <v>0</v>
      </c>
      <c r="T98" s="10" t="b">
        <v>0</v>
      </c>
      <c r="U98" s="10" t="b">
        <v>0</v>
      </c>
    </row>
    <row r="99">
      <c r="N99" s="10" t="b">
        <v>0</v>
      </c>
      <c r="O99" s="10" t="b">
        <v>0</v>
      </c>
      <c r="P99" s="10" t="b">
        <v>0</v>
      </c>
      <c r="Q99" s="10" t="b">
        <v>0</v>
      </c>
      <c r="S99" s="10" t="b">
        <v>0</v>
      </c>
      <c r="T99" s="10" t="b">
        <v>0</v>
      </c>
      <c r="U99" s="10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61"/>
    </row>
    <row r="2">
      <c r="A2" s="13" t="s">
        <v>39</v>
      </c>
      <c r="B2" s="13" t="s">
        <v>18</v>
      </c>
      <c r="C2" s="13" t="s">
        <v>45</v>
      </c>
      <c r="D2" s="13" t="s">
        <v>36</v>
      </c>
      <c r="E2" s="13" t="s">
        <v>50</v>
      </c>
      <c r="F2" s="13" t="s">
        <v>27</v>
      </c>
      <c r="G2" s="13" t="s">
        <v>31</v>
      </c>
      <c r="H2" s="13" t="s">
        <v>57</v>
      </c>
      <c r="I2" s="13" t="s">
        <v>60</v>
      </c>
      <c r="J2" s="13" t="s">
        <v>23</v>
      </c>
      <c r="K2" s="13" t="s">
        <v>63</v>
      </c>
      <c r="L2" s="13" t="s">
        <v>67</v>
      </c>
      <c r="M2" s="13" t="s">
        <v>34</v>
      </c>
      <c r="N2" s="62" t="b">
        <f t="array" ref="N2:P99">IFERROR(if(len(altclass),transpose(if(transpose(altclass)=alt!A2,indirect("deathknight"),if(transpose(altclass)=alt!B2,indirect("demonhunter"),if(transpose(altclass)=alt!C2,indirect("druid"),if(transpose(altclass)=alt!D2,indirect("hunter"),if(transpose(altclass)=alt!E2,indirect("mage"),if(transpose(altclass)=alt!F2,indirect("monk"),if(transpose(altclass)=alt!G2,indirect("paladin"),if(transpose(altclass)=alt!H2,indirect("priest"),if(transpose(altclass)=alt!I2,indirect("rogue"),if(transpose(altclass)=alt!J2,indirect("shaman"),if(transpose(altclass)=alt!K2,indirect("warlock"),if(transpose(altclass)=alt!L2,indirect("warrior"),if(transpose(altclass)=alt!M2,indirect("evoker")))))))))))))))), "")</f>
        <v>0</v>
      </c>
      <c r="O2" s="10" t="b">
        <v>0</v>
      </c>
      <c r="P2" s="10" t="b">
        <v>0</v>
      </c>
    </row>
    <row r="3">
      <c r="A3" s="13" t="s">
        <v>90</v>
      </c>
      <c r="B3" s="13" t="s">
        <v>91</v>
      </c>
      <c r="C3" s="13" t="s">
        <v>92</v>
      </c>
      <c r="D3" s="13" t="s">
        <v>93</v>
      </c>
      <c r="E3" s="13" t="s">
        <v>94</v>
      </c>
      <c r="F3" s="13" t="s">
        <v>95</v>
      </c>
      <c r="G3" s="13" t="s">
        <v>96</v>
      </c>
      <c r="H3" s="13" t="s">
        <v>97</v>
      </c>
      <c r="I3" s="13" t="s">
        <v>98</v>
      </c>
      <c r="J3" s="13" t="s">
        <v>99</v>
      </c>
      <c r="K3" s="13" t="s">
        <v>100</v>
      </c>
      <c r="L3" s="13" t="s">
        <v>101</v>
      </c>
      <c r="M3" s="13" t="s">
        <v>115</v>
      </c>
      <c r="N3" s="62" t="s">
        <v>91</v>
      </c>
      <c r="O3" s="10" t="s">
        <v>103</v>
      </c>
      <c r="P3" s="10" t="s">
        <v>19</v>
      </c>
    </row>
    <row r="4">
      <c r="A4" s="13" t="s">
        <v>105</v>
      </c>
      <c r="B4" s="13" t="s">
        <v>103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110</v>
      </c>
      <c r="H4" s="13" t="s">
        <v>96</v>
      </c>
      <c r="I4" s="13" t="s">
        <v>111</v>
      </c>
      <c r="J4" s="13" t="s">
        <v>112</v>
      </c>
      <c r="K4" s="13" t="s">
        <v>113</v>
      </c>
      <c r="L4" s="13" t="s">
        <v>114</v>
      </c>
      <c r="M4" s="13" t="s">
        <v>125</v>
      </c>
      <c r="N4" s="10" t="b">
        <v>0</v>
      </c>
      <c r="O4" s="10" t="b">
        <v>0</v>
      </c>
      <c r="P4" s="10" t="b">
        <v>0</v>
      </c>
    </row>
    <row r="5">
      <c r="A5" s="13" t="s">
        <v>117</v>
      </c>
      <c r="B5" s="13" t="s">
        <v>19</v>
      </c>
      <c r="C5" s="13" t="s">
        <v>118</v>
      </c>
      <c r="D5" s="13" t="s">
        <v>119</v>
      </c>
      <c r="E5" s="13" t="s">
        <v>105</v>
      </c>
      <c r="F5" s="13" t="s">
        <v>120</v>
      </c>
      <c r="G5" s="13" t="s">
        <v>121</v>
      </c>
      <c r="H5" s="13" t="s">
        <v>122</v>
      </c>
      <c r="I5" s="13" t="s">
        <v>123</v>
      </c>
      <c r="J5" s="13" t="s">
        <v>116</v>
      </c>
      <c r="K5" s="13" t="s">
        <v>124</v>
      </c>
      <c r="L5" s="13" t="s">
        <v>110</v>
      </c>
      <c r="N5" s="10" t="b">
        <v>0</v>
      </c>
      <c r="O5" s="10" t="b">
        <v>0</v>
      </c>
      <c r="P5" s="10" t="b">
        <v>0</v>
      </c>
    </row>
    <row r="6">
      <c r="C6" s="13" t="s">
        <v>116</v>
      </c>
      <c r="N6" s="10" t="b">
        <v>0</v>
      </c>
      <c r="O6" s="10" t="b">
        <v>0</v>
      </c>
      <c r="P6" s="10" t="b">
        <v>0</v>
      </c>
    </row>
    <row r="7">
      <c r="N7" s="10" t="b">
        <v>0</v>
      </c>
      <c r="O7" s="10" t="b">
        <v>0</v>
      </c>
      <c r="P7" s="10" t="b">
        <v>0</v>
      </c>
    </row>
    <row r="8">
      <c r="N8" s="10" t="b">
        <v>0</v>
      </c>
      <c r="O8" s="10" t="b">
        <v>0</v>
      </c>
      <c r="P8" s="10" t="b">
        <v>0</v>
      </c>
    </row>
    <row r="9">
      <c r="N9" s="10" t="b">
        <v>0</v>
      </c>
      <c r="O9" s="10" t="b">
        <v>0</v>
      </c>
      <c r="P9" s="10" t="b">
        <v>0</v>
      </c>
    </row>
    <row r="10">
      <c r="N10" s="10" t="b">
        <v>0</v>
      </c>
      <c r="O10" s="10" t="b">
        <v>0</v>
      </c>
      <c r="P10" s="10" t="b">
        <v>0</v>
      </c>
    </row>
    <row r="11">
      <c r="N11" s="10" t="b">
        <v>0</v>
      </c>
      <c r="O11" s="10" t="b">
        <v>0</v>
      </c>
      <c r="P11" s="10" t="b">
        <v>0</v>
      </c>
    </row>
    <row r="12">
      <c r="N12" s="10" t="b">
        <v>0</v>
      </c>
      <c r="O12" s="10" t="b">
        <v>0</v>
      </c>
      <c r="P12" s="10" t="b">
        <v>0</v>
      </c>
    </row>
    <row r="13">
      <c r="N13" s="10" t="b">
        <v>0</v>
      </c>
      <c r="O13" s="10" t="b">
        <v>0</v>
      </c>
      <c r="P13" s="10" t="b">
        <v>0</v>
      </c>
    </row>
    <row r="14">
      <c r="N14" s="10" t="b">
        <v>0</v>
      </c>
      <c r="O14" s="10" t="b">
        <v>0</v>
      </c>
      <c r="P14" s="10" t="b">
        <v>0</v>
      </c>
    </row>
    <row r="15">
      <c r="N15" s="10" t="b">
        <v>0</v>
      </c>
      <c r="O15" s="10" t="b">
        <v>0</v>
      </c>
      <c r="P15" s="10" t="b">
        <v>0</v>
      </c>
    </row>
    <row r="16">
      <c r="N16" s="10" t="b">
        <v>0</v>
      </c>
      <c r="O16" s="10" t="b">
        <v>0</v>
      </c>
      <c r="P16" s="10" t="b">
        <v>0</v>
      </c>
    </row>
    <row r="17">
      <c r="N17" s="10" t="b">
        <v>0</v>
      </c>
      <c r="O17" s="10" t="b">
        <v>0</v>
      </c>
      <c r="P17" s="10" t="b">
        <v>0</v>
      </c>
    </row>
    <row r="18">
      <c r="N18" s="10" t="b">
        <v>0</v>
      </c>
      <c r="O18" s="10" t="b">
        <v>0</v>
      </c>
      <c r="P18" s="10" t="b">
        <v>0</v>
      </c>
    </row>
    <row r="19">
      <c r="N19" s="10" t="b">
        <v>0</v>
      </c>
      <c r="O19" s="10" t="b">
        <v>0</v>
      </c>
      <c r="P19" s="10" t="b">
        <v>0</v>
      </c>
    </row>
    <row r="20">
      <c r="N20" s="10" t="b">
        <v>0</v>
      </c>
      <c r="O20" s="10" t="b">
        <v>0</v>
      </c>
      <c r="P20" s="10" t="b">
        <v>0</v>
      </c>
    </row>
    <row r="21">
      <c r="N21" s="10" t="b">
        <v>0</v>
      </c>
      <c r="O21" s="10" t="b">
        <v>0</v>
      </c>
      <c r="P21" s="10" t="b">
        <v>0</v>
      </c>
    </row>
    <row r="22">
      <c r="N22" s="10" t="b">
        <v>0</v>
      </c>
      <c r="O22" s="10" t="b">
        <v>0</v>
      </c>
      <c r="P22" s="10" t="b">
        <v>0</v>
      </c>
    </row>
    <row r="23">
      <c r="N23" s="10" t="b">
        <v>0</v>
      </c>
      <c r="O23" s="10" t="b">
        <v>0</v>
      </c>
      <c r="P23" s="10" t="b">
        <v>0</v>
      </c>
    </row>
    <row r="24">
      <c r="N24" s="10" t="b">
        <v>0</v>
      </c>
      <c r="O24" s="10" t="b">
        <v>0</v>
      </c>
      <c r="P24" s="10" t="b">
        <v>0</v>
      </c>
    </row>
    <row r="25">
      <c r="N25" s="10" t="s">
        <v>90</v>
      </c>
      <c r="O25" s="10" t="s">
        <v>105</v>
      </c>
      <c r="P25" s="10" t="s">
        <v>117</v>
      </c>
    </row>
    <row r="26">
      <c r="N26" s="10" t="b">
        <v>0</v>
      </c>
      <c r="O26" s="10" t="b">
        <v>0</v>
      </c>
      <c r="P26" s="10" t="b">
        <v>0</v>
      </c>
    </row>
    <row r="27">
      <c r="N27" s="10" t="b">
        <v>0</v>
      </c>
      <c r="O27" s="10" t="b">
        <v>0</v>
      </c>
      <c r="P27" s="10" t="b">
        <v>0</v>
      </c>
    </row>
    <row r="28">
      <c r="N28" s="10" t="b">
        <v>0</v>
      </c>
      <c r="O28" s="10" t="b">
        <v>0</v>
      </c>
      <c r="P28" s="10" t="b">
        <v>0</v>
      </c>
    </row>
    <row r="29">
      <c r="N29" s="10" t="b">
        <v>0</v>
      </c>
      <c r="O29" s="10" t="b">
        <v>0</v>
      </c>
      <c r="P29" s="10" t="b">
        <v>0</v>
      </c>
    </row>
    <row r="30">
      <c r="N30" s="10" t="b">
        <v>0</v>
      </c>
      <c r="O30" s="10" t="b">
        <v>0</v>
      </c>
      <c r="P30" s="10" t="b">
        <v>0</v>
      </c>
    </row>
    <row r="31">
      <c r="N31" s="10" t="s">
        <v>91</v>
      </c>
      <c r="O31" s="10" t="s">
        <v>103</v>
      </c>
      <c r="P31" s="10" t="s">
        <v>19</v>
      </c>
    </row>
    <row r="32">
      <c r="N32" s="10" t="s">
        <v>94</v>
      </c>
      <c r="O32" s="10" t="s">
        <v>108</v>
      </c>
      <c r="P32" s="10" t="s">
        <v>105</v>
      </c>
    </row>
    <row r="33">
      <c r="N33" s="10" t="b">
        <v>0</v>
      </c>
      <c r="O33" s="10" t="b">
        <v>0</v>
      </c>
      <c r="P33" s="10" t="b">
        <v>0</v>
      </c>
    </row>
    <row r="34">
      <c r="N34" s="10" t="b">
        <v>0</v>
      </c>
      <c r="O34" s="10" t="b">
        <v>0</v>
      </c>
      <c r="P34" s="10" t="b">
        <v>0</v>
      </c>
    </row>
    <row r="35">
      <c r="N35" s="10" t="b">
        <v>0</v>
      </c>
      <c r="O35" s="10" t="b">
        <v>0</v>
      </c>
      <c r="P35" s="10" t="b">
        <v>0</v>
      </c>
    </row>
    <row r="36">
      <c r="N36" s="10" t="b">
        <v>0</v>
      </c>
      <c r="O36" s="10" t="b">
        <v>0</v>
      </c>
      <c r="P36" s="10" t="b">
        <v>0</v>
      </c>
    </row>
    <row r="37">
      <c r="N37" s="10" t="b">
        <v>0</v>
      </c>
      <c r="O37" s="10" t="b">
        <v>0</v>
      </c>
      <c r="P37" s="10" t="b">
        <v>0</v>
      </c>
    </row>
    <row r="38">
      <c r="N38" s="10" t="b">
        <v>0</v>
      </c>
      <c r="O38" s="10" t="b">
        <v>0</v>
      </c>
      <c r="P38" s="10" t="b">
        <v>0</v>
      </c>
    </row>
    <row r="39">
      <c r="N39" s="10" t="b">
        <v>0</v>
      </c>
      <c r="O39" s="10" t="b">
        <v>0</v>
      </c>
      <c r="P39" s="10" t="b">
        <v>0</v>
      </c>
    </row>
    <row r="40">
      <c r="N40" s="10" t="b">
        <v>0</v>
      </c>
      <c r="O40" s="10" t="b">
        <v>0</v>
      </c>
      <c r="P40" s="10" t="b">
        <v>0</v>
      </c>
    </row>
    <row r="41">
      <c r="N41" s="10" t="b">
        <v>0</v>
      </c>
      <c r="O41" s="10" t="b">
        <v>0</v>
      </c>
      <c r="P41" s="10" t="b">
        <v>0</v>
      </c>
    </row>
    <row r="42">
      <c r="N42" s="10" t="b">
        <v>0</v>
      </c>
      <c r="O42" s="10" t="b">
        <v>0</v>
      </c>
      <c r="P42" s="10" t="b">
        <v>0</v>
      </c>
    </row>
    <row r="43">
      <c r="N43" s="10" t="b">
        <v>0</v>
      </c>
      <c r="O43" s="10" t="b">
        <v>0</v>
      </c>
      <c r="P43" s="10" t="b">
        <v>0</v>
      </c>
    </row>
    <row r="44">
      <c r="N44" s="10" t="b">
        <v>0</v>
      </c>
      <c r="O44" s="10" t="b">
        <v>0</v>
      </c>
      <c r="P44" s="10" t="b">
        <v>0</v>
      </c>
    </row>
    <row r="45">
      <c r="N45" s="10" t="b">
        <v>0</v>
      </c>
      <c r="O45" s="10" t="b">
        <v>0</v>
      </c>
      <c r="P45" s="10" t="b">
        <v>0</v>
      </c>
    </row>
    <row r="46">
      <c r="N46" s="10" t="b">
        <v>0</v>
      </c>
      <c r="O46" s="10" t="b">
        <v>0</v>
      </c>
      <c r="P46" s="10" t="b">
        <v>0</v>
      </c>
    </row>
    <row r="47">
      <c r="N47" s="10" t="b">
        <v>0</v>
      </c>
      <c r="O47" s="10" t="b">
        <v>0</v>
      </c>
      <c r="P47" s="10" t="b">
        <v>0</v>
      </c>
    </row>
    <row r="48">
      <c r="N48" s="10" t="b">
        <v>0</v>
      </c>
      <c r="O48" s="10" t="b">
        <v>0</v>
      </c>
      <c r="P48" s="10" t="b">
        <v>0</v>
      </c>
    </row>
    <row r="49">
      <c r="N49" s="10" t="b">
        <v>0</v>
      </c>
      <c r="O49" s="10" t="b">
        <v>0</v>
      </c>
      <c r="P49" s="10" t="b">
        <v>0</v>
      </c>
    </row>
    <row r="50">
      <c r="N50" s="10" t="b">
        <v>0</v>
      </c>
      <c r="O50" s="10" t="b">
        <v>0</v>
      </c>
      <c r="P50" s="10" t="b">
        <v>0</v>
      </c>
    </row>
    <row r="51">
      <c r="N51" s="10" t="b">
        <v>0</v>
      </c>
      <c r="O51" s="10" t="b">
        <v>0</v>
      </c>
      <c r="P51" s="10" t="b">
        <v>0</v>
      </c>
    </row>
    <row r="52">
      <c r="N52" s="10" t="b">
        <v>0</v>
      </c>
      <c r="O52" s="10" t="b">
        <v>0</v>
      </c>
      <c r="P52" s="10" t="b">
        <v>0</v>
      </c>
    </row>
    <row r="53">
      <c r="N53" s="10" t="b">
        <v>0</v>
      </c>
      <c r="O53" s="10" t="b">
        <v>0</v>
      </c>
      <c r="P53" s="10" t="b">
        <v>0</v>
      </c>
    </row>
    <row r="54">
      <c r="N54" s="10" t="b">
        <v>0</v>
      </c>
      <c r="O54" s="10" t="b">
        <v>0</v>
      </c>
      <c r="P54" s="10" t="b">
        <v>0</v>
      </c>
    </row>
    <row r="55">
      <c r="N55" s="10" t="b">
        <v>0</v>
      </c>
      <c r="O55" s="10" t="b">
        <v>0</v>
      </c>
      <c r="P55" s="10" t="b">
        <v>0</v>
      </c>
    </row>
    <row r="56">
      <c r="N56" s="10" t="b">
        <v>0</v>
      </c>
      <c r="O56" s="10" t="b">
        <v>0</v>
      </c>
      <c r="P56" s="10" t="b">
        <v>0</v>
      </c>
    </row>
    <row r="57">
      <c r="N57" s="10" t="b">
        <v>0</v>
      </c>
      <c r="O57" s="10" t="b">
        <v>0</v>
      </c>
      <c r="P57" s="10" t="b">
        <v>0</v>
      </c>
    </row>
    <row r="58">
      <c r="N58" s="10" t="b">
        <v>0</v>
      </c>
      <c r="O58" s="10" t="b">
        <v>0</v>
      </c>
      <c r="P58" s="10" t="b">
        <v>0</v>
      </c>
    </row>
    <row r="59">
      <c r="N59" s="10" t="b">
        <v>0</v>
      </c>
      <c r="O59" s="10" t="b">
        <v>0</v>
      </c>
      <c r="P59" s="10" t="b">
        <v>0</v>
      </c>
    </row>
    <row r="60">
      <c r="N60" s="10" t="b">
        <v>0</v>
      </c>
      <c r="O60" s="10" t="b">
        <v>0</v>
      </c>
      <c r="P60" s="10" t="b">
        <v>0</v>
      </c>
    </row>
    <row r="61">
      <c r="N61" s="10" t="b">
        <v>0</v>
      </c>
      <c r="O61" s="10" t="b">
        <v>0</v>
      </c>
      <c r="P61" s="10" t="b">
        <v>0</v>
      </c>
    </row>
    <row r="62">
      <c r="N62" s="10" t="b">
        <v>0</v>
      </c>
      <c r="O62" s="10" t="b">
        <v>0</v>
      </c>
      <c r="P62" s="10" t="b">
        <v>0</v>
      </c>
    </row>
    <row r="63">
      <c r="N63" s="10" t="b">
        <v>0</v>
      </c>
      <c r="O63" s="10" t="b">
        <v>0</v>
      </c>
      <c r="P63" s="10" t="b">
        <v>0</v>
      </c>
    </row>
    <row r="64">
      <c r="N64" s="10" t="b">
        <v>0</v>
      </c>
      <c r="O64" s="10" t="b">
        <v>0</v>
      </c>
      <c r="P64" s="10" t="b">
        <v>0</v>
      </c>
    </row>
    <row r="65">
      <c r="N65" s="10" t="b">
        <v>0</v>
      </c>
      <c r="O65" s="10" t="b">
        <v>0</v>
      </c>
      <c r="P65" s="10" t="b">
        <v>0</v>
      </c>
    </row>
    <row r="66">
      <c r="N66" s="10" t="b">
        <v>0</v>
      </c>
      <c r="O66" s="10" t="b">
        <v>0</v>
      </c>
      <c r="P66" s="10" t="b">
        <v>0</v>
      </c>
    </row>
    <row r="67">
      <c r="N67" s="10" t="b">
        <v>0</v>
      </c>
      <c r="O67" s="10" t="b">
        <v>0</v>
      </c>
      <c r="P67" s="10" t="b">
        <v>0</v>
      </c>
    </row>
    <row r="68">
      <c r="N68" s="10" t="b">
        <v>0</v>
      </c>
      <c r="O68" s="10" t="b">
        <v>0</v>
      </c>
      <c r="P68" s="10" t="b">
        <v>0</v>
      </c>
    </row>
    <row r="69">
      <c r="N69" s="10" t="b">
        <v>0</v>
      </c>
      <c r="O69" s="10" t="b">
        <v>0</v>
      </c>
      <c r="P69" s="10" t="b">
        <v>0</v>
      </c>
    </row>
    <row r="70">
      <c r="N70" s="10" t="b">
        <v>0</v>
      </c>
      <c r="O70" s="10" t="b">
        <v>0</v>
      </c>
      <c r="P70" s="10" t="b">
        <v>0</v>
      </c>
    </row>
    <row r="71">
      <c r="N71" s="10" t="b">
        <v>0</v>
      </c>
      <c r="O71" s="10" t="b">
        <v>0</v>
      </c>
      <c r="P71" s="10" t="b">
        <v>0</v>
      </c>
    </row>
    <row r="72">
      <c r="N72" s="10" t="b">
        <v>0</v>
      </c>
      <c r="O72" s="10" t="b">
        <v>0</v>
      </c>
      <c r="P72" s="10" t="b">
        <v>0</v>
      </c>
    </row>
    <row r="73">
      <c r="N73" s="10" t="b">
        <v>0</v>
      </c>
      <c r="O73" s="10" t="b">
        <v>0</v>
      </c>
      <c r="P73" s="10" t="b">
        <v>0</v>
      </c>
    </row>
    <row r="74">
      <c r="N74" s="10" t="b">
        <v>0</v>
      </c>
      <c r="O74" s="10" t="b">
        <v>0</v>
      </c>
      <c r="P74" s="10" t="b">
        <v>0</v>
      </c>
    </row>
    <row r="75">
      <c r="N75" s="10" t="b">
        <v>0</v>
      </c>
      <c r="O75" s="10" t="b">
        <v>0</v>
      </c>
      <c r="P75" s="10" t="b">
        <v>0</v>
      </c>
    </row>
    <row r="76">
      <c r="N76" s="10" t="b">
        <v>0</v>
      </c>
      <c r="O76" s="10" t="b">
        <v>0</v>
      </c>
      <c r="P76" s="10" t="b">
        <v>0</v>
      </c>
    </row>
    <row r="77">
      <c r="N77" s="10" t="b">
        <v>0</v>
      </c>
      <c r="O77" s="10" t="b">
        <v>0</v>
      </c>
      <c r="P77" s="10" t="b">
        <v>0</v>
      </c>
    </row>
    <row r="78">
      <c r="N78" s="10" t="b">
        <v>0</v>
      </c>
      <c r="O78" s="10" t="b">
        <v>0</v>
      </c>
      <c r="P78" s="10" t="b">
        <v>0</v>
      </c>
    </row>
    <row r="79">
      <c r="N79" s="10" t="b">
        <v>0</v>
      </c>
      <c r="O79" s="10" t="b">
        <v>0</v>
      </c>
      <c r="P79" s="10" t="b">
        <v>0</v>
      </c>
    </row>
    <row r="80">
      <c r="N80" s="10" t="b">
        <v>0</v>
      </c>
      <c r="O80" s="10" t="b">
        <v>0</v>
      </c>
      <c r="P80" s="10" t="b">
        <v>0</v>
      </c>
    </row>
    <row r="81">
      <c r="N81" s="10" t="b">
        <v>0</v>
      </c>
      <c r="O81" s="10" t="b">
        <v>0</v>
      </c>
      <c r="P81" s="10" t="b">
        <v>0</v>
      </c>
    </row>
    <row r="82">
      <c r="N82" s="10" t="b">
        <v>0</v>
      </c>
      <c r="O82" s="10" t="b">
        <v>0</v>
      </c>
      <c r="P82" s="10" t="b">
        <v>0</v>
      </c>
    </row>
    <row r="83">
      <c r="N83" s="10" t="b">
        <v>0</v>
      </c>
      <c r="O83" s="10" t="b">
        <v>0</v>
      </c>
      <c r="P83" s="10" t="b">
        <v>0</v>
      </c>
    </row>
    <row r="84">
      <c r="N84" s="10" t="b">
        <v>0</v>
      </c>
      <c r="O84" s="10" t="b">
        <v>0</v>
      </c>
      <c r="P84" s="10" t="b">
        <v>0</v>
      </c>
    </row>
    <row r="85">
      <c r="N85" s="10" t="b">
        <v>0</v>
      </c>
      <c r="O85" s="10" t="b">
        <v>0</v>
      </c>
      <c r="P85" s="10" t="b">
        <v>0</v>
      </c>
    </row>
    <row r="86">
      <c r="N86" s="10" t="b">
        <v>0</v>
      </c>
      <c r="O86" s="10" t="b">
        <v>0</v>
      </c>
      <c r="P86" s="10" t="b">
        <v>0</v>
      </c>
    </row>
    <row r="87">
      <c r="N87" s="10" t="b">
        <v>0</v>
      </c>
      <c r="O87" s="10" t="b">
        <v>0</v>
      </c>
      <c r="P87" s="10" t="b">
        <v>0</v>
      </c>
    </row>
    <row r="88">
      <c r="N88" s="10" t="b">
        <v>0</v>
      </c>
      <c r="O88" s="10" t="b">
        <v>0</v>
      </c>
      <c r="P88" s="10" t="b">
        <v>0</v>
      </c>
    </row>
    <row r="89">
      <c r="N89" s="10" t="b">
        <v>0</v>
      </c>
      <c r="O89" s="10" t="b">
        <v>0</v>
      </c>
      <c r="P89" s="10" t="b">
        <v>0</v>
      </c>
    </row>
    <row r="90">
      <c r="N90" s="10" t="b">
        <v>0</v>
      </c>
      <c r="O90" s="10" t="b">
        <v>0</v>
      </c>
      <c r="P90" s="10" t="b">
        <v>0</v>
      </c>
    </row>
    <row r="91">
      <c r="N91" s="10" t="b">
        <v>0</v>
      </c>
      <c r="O91" s="10" t="b">
        <v>0</v>
      </c>
      <c r="P91" s="10" t="b">
        <v>0</v>
      </c>
    </row>
    <row r="92">
      <c r="N92" s="10" t="b">
        <v>0</v>
      </c>
      <c r="O92" s="10" t="b">
        <v>0</v>
      </c>
      <c r="P92" s="10" t="b">
        <v>0</v>
      </c>
    </row>
    <row r="93">
      <c r="N93" s="10" t="b">
        <v>0</v>
      </c>
      <c r="O93" s="10" t="b">
        <v>0</v>
      </c>
      <c r="P93" s="10" t="b">
        <v>0</v>
      </c>
    </row>
    <row r="94">
      <c r="N94" s="10" t="b">
        <v>0</v>
      </c>
      <c r="O94" s="10" t="b">
        <v>0</v>
      </c>
      <c r="P94" s="10" t="b">
        <v>0</v>
      </c>
    </row>
    <row r="95">
      <c r="N95" s="10" t="b">
        <v>0</v>
      </c>
      <c r="O95" s="10" t="b">
        <v>0</v>
      </c>
      <c r="P95" s="10" t="b">
        <v>0</v>
      </c>
    </row>
    <row r="96">
      <c r="N96" s="10" t="b">
        <v>0</v>
      </c>
      <c r="O96" s="10" t="b">
        <v>0</v>
      </c>
      <c r="P96" s="10" t="b">
        <v>0</v>
      </c>
    </row>
    <row r="97">
      <c r="N97" s="10" t="b">
        <v>0</v>
      </c>
      <c r="O97" s="10" t="b">
        <v>0</v>
      </c>
      <c r="P97" s="10" t="b">
        <v>0</v>
      </c>
    </row>
    <row r="98">
      <c r="N98" s="10" t="b">
        <v>0</v>
      </c>
      <c r="O98" s="10" t="b">
        <v>0</v>
      </c>
      <c r="P98" s="10" t="b">
        <v>0</v>
      </c>
    </row>
    <row r="99">
      <c r="N99" s="10" t="b">
        <v>0</v>
      </c>
      <c r="O99" s="10" t="b">
        <v>0</v>
      </c>
      <c r="P99" s="10" t="b">
        <v>0</v>
      </c>
    </row>
  </sheetData>
  <drawing r:id="rId1"/>
</worksheet>
</file>